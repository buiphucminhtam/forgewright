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ROC" sheetId="2" state="visible" r:id="rId2"/>
    <sheet name="1.Overview" sheetId="3" state="visible" r:id="rId3"/>
    <sheet name="2.Master Schedule" sheetId="4" state="visible" r:id="rId4"/>
    <sheet name="3.Detail Schedule" sheetId="5" state="visible" r:id="rId5"/>
    <sheet name="4.Resource" sheetId="6" state="visible" r:id="rId6"/>
    <sheet name="5.RiskIssue" sheetId="7" state="visible" r:id="rId7"/>
    <sheet name="6.CM" sheetId="8" state="visible" r:id="rId8"/>
    <sheet name="Sheet6" sheetId="9" state="hidden" r:id="rId9"/>
    <sheet name="7.Quality" sheetId="10" state="visible" r:id="rId10"/>
  </sheets>
  <definedNames/>
  <calcPr calcId="124519" fullCalcOnLoad="1"/>
</workbook>
</file>

<file path=xl/styles.xml><?xml version="1.0" encoding="utf-8"?>
<styleSheet xmlns="http://schemas.openxmlformats.org/spreadsheetml/2006/main">
  <numFmts count="5">
    <numFmt numFmtId="164" formatCode="0.0"/>
    <numFmt numFmtId="165" formatCode="dd&quot;/&quot;mm&quot;/&quot;yyyy"/>
    <numFmt numFmtId="166" formatCode="m/d/yyyy"/>
    <numFmt numFmtId="167" formatCode="mm/dd/yyyy"/>
    <numFmt numFmtId="168" formatCode="DD/MM/YYYY"/>
  </numFmts>
  <fonts count="54">
    <font>
      <name val="Arial"/>
      <color rgb="FF000000"/>
      <sz val="10"/>
      <scheme val="minor"/>
    </font>
    <font>
      <name val="Times New Roman"/>
      <b val="1"/>
      <color theme="1"/>
      <sz val="12"/>
    </font>
    <font>
      <name val="Times New Roman"/>
      <color rgb="FF000000"/>
      <sz val="10"/>
    </font>
    <font>
      <name val="Times New Roman"/>
      <color theme="1"/>
      <sz val="10"/>
    </font>
    <font>
      <name val="Times New Roman"/>
      <b val="1"/>
      <color rgb="FF002058"/>
      <sz val="15"/>
    </font>
    <font>
      <name val="Times New Roman"/>
      <b val="1"/>
      <color rgb="FF002058"/>
      <sz val="20"/>
    </font>
    <font>
      <name val="Times New Roman"/>
      <b val="1"/>
      <color rgb="FFFFFFFF"/>
      <sz val="12"/>
    </font>
    <font>
      <name val="Times New Roman"/>
      <color theme="1"/>
      <sz val="12"/>
    </font>
    <font>
      <name val="Times New Roman"/>
      <b val="1"/>
      <i val="1"/>
      <color theme="1"/>
      <sz val="13"/>
    </font>
    <font/>
    <font>
      <name val="Times New Roman"/>
      <color rgb="FF002058"/>
      <sz val="11"/>
    </font>
    <font>
      <name val="Times New Roman"/>
      <b val="1"/>
      <i val="1"/>
      <color theme="1"/>
      <sz val="12"/>
    </font>
    <font>
      <name val="Times New Roman"/>
      <color rgb="FFFF0000"/>
      <sz val="12"/>
    </font>
    <font>
      <name val="Times New Roman"/>
      <b val="1"/>
      <color rgb="FF000000"/>
      <sz val="11"/>
    </font>
    <font>
      <name val="Times New Roman"/>
      <b val="1"/>
      <i val="1"/>
      <color rgb="FF000000"/>
      <sz val="11"/>
    </font>
    <font>
      <name val="Times New Roman"/>
      <color theme="1"/>
      <sz val="11"/>
    </font>
    <font>
      <name val="Times New Roman"/>
      <color rgb="FF000000"/>
      <sz val="12"/>
    </font>
    <font>
      <name val="Times New Roman"/>
      <b val="1"/>
      <color theme="1"/>
      <sz val="11"/>
    </font>
    <font>
      <name val="Times New Roman"/>
      <b val="1"/>
      <color theme="0"/>
      <sz val="14"/>
    </font>
    <font>
      <name val="Times New Roman"/>
      <b val="1"/>
      <color rgb="FF000000"/>
      <sz val="13"/>
    </font>
    <font>
      <name val="Times New Roman"/>
      <b val="1"/>
      <color theme="1"/>
      <sz val="13"/>
    </font>
    <font>
      <name val="Times New Roman"/>
      <i val="1"/>
      <color rgb="FF000000"/>
      <sz val="11"/>
    </font>
    <font>
      <name val="Times New Roman"/>
      <i val="1"/>
      <color theme="1"/>
      <sz val="11"/>
    </font>
    <font>
      <name val="Times New Roman"/>
      <color rgb="FF000000"/>
      <sz val="11"/>
    </font>
    <font>
      <name val="Times New Roman"/>
      <color theme="1"/>
    </font>
    <font>
      <name val="Times New Roman"/>
      <color rgb="FF001E45"/>
      <sz val="11"/>
    </font>
    <font>
      <name val="Times New Roman"/>
      <b val="1"/>
      <color theme="0"/>
      <sz val="11"/>
    </font>
    <font>
      <name val="Times New Roman"/>
      <b val="1"/>
      <color rgb="FF001E45"/>
      <sz val="11"/>
    </font>
    <font>
      <name val="&quot;Times New Roman&quot;"/>
      <color rgb="FF000000"/>
      <sz val="11"/>
    </font>
    <font>
      <name val="Plus Jakarta Sans"/>
      <b val="1"/>
      <color rgb="FF000000"/>
      <sz val="10"/>
    </font>
    <font>
      <name val="Plus Jakarta Sans"/>
      <color theme="1"/>
      <sz val="10"/>
    </font>
    <font>
      <name val="Plus Jakarta Sans"/>
      <color rgb="FF000000"/>
      <sz val="10"/>
    </font>
    <font>
      <name val="Times New Roman"/>
      <b val="1"/>
      <color rgb="FF002058"/>
      <sz val="10"/>
    </font>
    <font>
      <name val="Times New Roman"/>
      <b val="1"/>
      <color rgb="FF002058"/>
      <sz val="18"/>
    </font>
    <font>
      <name val="Times New Roman"/>
      <color rgb="FF002058"/>
      <sz val="10"/>
    </font>
    <font>
      <name val="Times New Roman"/>
      <b val="1"/>
      <color rgb="FFFFFFFF"/>
      <sz val="11"/>
    </font>
    <font>
      <name val="Arial"/>
      <color theme="1"/>
      <scheme val="minor"/>
    </font>
    <font>
      <name val="Arial"/>
      <color theme="1"/>
    </font>
    <font>
      <name val="Arial"/>
      <b val="1"/>
      <color theme="1"/>
      <scheme val="minor"/>
    </font>
    <font>
      <name val="Times New Roman"/>
      <b val="1"/>
      <color rgb="FFFF0000"/>
      <sz val="11"/>
    </font>
    <font>
      <name val="Times New Roman"/>
      <color rgb="FF002058"/>
    </font>
    <font>
      <name val="Arial"/>
      <b val="1"/>
      <color theme="1"/>
      <sz val="11"/>
      <scheme val="minor"/>
    </font>
    <font>
      <name val="Times New Roman"/>
      <b val="1"/>
      <color rgb="FF000000"/>
      <sz val="12"/>
    </font>
    <font>
      <name val="Times New Roman"/>
      <b val="1"/>
      <color rgb="FFFFFFFF"/>
      <sz val="14"/>
    </font>
    <font>
      <name val="Times New Roman"/>
      <b val="1"/>
      <color rgb="FF2D70E1"/>
      <sz val="14"/>
    </font>
    <font>
      <name val="Times New Roman"/>
      <b val="1"/>
      <color rgb="FF000000"/>
      <sz val="14"/>
    </font>
    <font>
      <name val="Times New Roman"/>
      <color rgb="FF002058"/>
      <sz val="12"/>
    </font>
    <font>
      <name val="Arial"/>
      <b val="1"/>
      <color theme="1"/>
      <sz val="14"/>
      <scheme val="minor"/>
    </font>
    <font>
      <name val="Times New Roman"/>
      <b val="1"/>
      <color rgb="FF2D70E1"/>
      <sz val="12"/>
    </font>
    <font>
      <name val="Times New Roman"/>
      <color rgb="FFFF0000"/>
      <sz val="11"/>
    </font>
    <font>
      <name val="Times New Roman"/>
      <color rgb="FFFFFFFF"/>
      <sz val="10"/>
    </font>
    <font>
      <name val="Arial"/>
      <b val="1"/>
      <color rgb="00FFFFFF"/>
      <sz val="11"/>
    </font>
    <font>
      <name val="Arial"/>
      <b val="1"/>
      <color rgb="00000000"/>
      <sz val="10"/>
    </font>
    <font>
      <name val="Arial"/>
      <color rgb="00000000"/>
      <sz val="10"/>
    </font>
  </fonts>
  <fills count="22">
    <fill>
      <patternFill/>
    </fill>
    <fill>
      <patternFill patternType="lightGray"/>
    </fill>
    <fill>
      <patternFill patternType="solid">
        <fgColor rgb="FF002058"/>
        <bgColor rgb="FF002058"/>
      </patternFill>
    </fill>
    <fill>
      <patternFill patternType="solid">
        <fgColor rgb="FFE7E6E6"/>
        <bgColor rgb="FFE7E6E6"/>
      </patternFill>
    </fill>
    <fill>
      <patternFill patternType="solid">
        <fgColor rgb="FF336699"/>
        <bgColor rgb="FF336699"/>
      </patternFill>
    </fill>
    <fill>
      <patternFill patternType="solid">
        <fgColor rgb="FFFFFFFF"/>
        <bgColor rgb="FFFFFFFF"/>
      </patternFill>
    </fill>
    <fill>
      <patternFill patternType="solid">
        <fgColor rgb="FFD9EAD3"/>
        <bgColor rgb="FFD9EAD3"/>
      </patternFill>
    </fill>
    <fill>
      <patternFill patternType="solid">
        <fgColor rgb="FFEA9999"/>
        <bgColor rgb="FFEA9999"/>
      </patternFill>
    </fill>
    <fill>
      <patternFill patternType="solid">
        <fgColor rgb="FFA4C2F4"/>
        <bgColor rgb="FFA4C2F4"/>
      </patternFill>
    </fill>
    <fill>
      <patternFill patternType="solid">
        <fgColor rgb="FFB7E1CD"/>
        <bgColor rgb="FFB7E1CD"/>
      </patternFill>
    </fill>
    <fill>
      <patternFill patternType="solid">
        <fgColor rgb="FFF3F3F3"/>
        <bgColor rgb="FFF3F3F3"/>
      </patternFill>
    </fill>
    <fill>
      <patternFill patternType="solid">
        <fgColor rgb="FF6FA8DC"/>
        <bgColor rgb="FF6FA8DC"/>
      </patternFill>
    </fill>
    <fill>
      <patternFill patternType="solid">
        <fgColor theme="0"/>
        <bgColor theme="0"/>
      </patternFill>
    </fill>
    <fill>
      <patternFill patternType="solid">
        <fgColor rgb="FF3C78D8"/>
        <bgColor rgb="FF3C78D8"/>
      </patternFill>
    </fill>
    <fill>
      <patternFill patternType="solid">
        <fgColor rgb="FFC9DAF8"/>
        <bgColor rgb="FFC9DAF8"/>
      </patternFill>
    </fill>
    <fill>
      <patternFill patternType="solid">
        <fgColor rgb="FFEFEFEF"/>
        <bgColor rgb="FFEFEFEF"/>
      </patternFill>
    </fill>
    <fill>
      <patternFill patternType="solid">
        <fgColor rgb="FFBFBFBF"/>
        <bgColor rgb="FFBFBFBF"/>
      </patternFill>
    </fill>
    <fill>
      <patternFill patternType="solid">
        <fgColor rgb="FFF2F2F2"/>
        <bgColor rgb="FFF2F2F2"/>
      </patternFill>
    </fill>
    <fill>
      <patternFill patternType="solid">
        <fgColor rgb="FF6AA84F"/>
        <bgColor rgb="FF6AA84F"/>
      </patternFill>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85">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right/>
      <top/>
      <bottom/>
    </border>
    <border>
      <right style="thin">
        <color rgb="FF000000"/>
      </right>
    </border>
    <border>
      <left/>
      <top/>
      <bottom style="thin">
        <color rgb="FF000000"/>
      </bottom>
    </border>
    <border>
      <top/>
      <bottom style="thin">
        <color rgb="FF000000"/>
      </bottom>
    </border>
    <border>
      <right/>
      <top/>
      <bottom style="thin">
        <color rgb="FF000000"/>
      </bottom>
    </border>
    <border>
      <top style="thin">
        <color rgb="FF000000"/>
      </top>
    </border>
    <border>
      <left/>
      <right/>
      <top/>
      <bottom style="thin">
        <color rgb="FF000000"/>
      </bottom>
    </border>
    <border>
      <right style="thin">
        <color rgb="FFFFFFFF"/>
      </right>
      <top style="thin">
        <color rgb="FF000000"/>
      </top>
      <bottom style="thin">
        <color rgb="FF000000"/>
      </bottom>
    </border>
    <border>
      <top style="thin">
        <color rgb="FFC9DAF8"/>
      </top>
      <bottom style="thin">
        <color rgb="FFC9DAF8"/>
      </bottom>
    </border>
    <border>
      <right style="thin">
        <color rgb="FFC9DAF8"/>
      </right>
      <top style="thin">
        <color rgb="FFC9DAF8"/>
      </top>
      <bottom style="thin">
        <color rgb="FFC9DAF8"/>
      </bottom>
    </border>
    <border>
      <left/>
      <top/>
    </border>
    <border>
      <top/>
    </border>
    <border>
      <right/>
      <top/>
    </border>
    <border>
      <left/>
    </border>
    <border>
      <right/>
    </border>
    <border>
      <left/>
      <bottom/>
    </border>
    <border>
      <bottom/>
    </border>
    <border>
      <right/>
      <bottom/>
    </border>
    <border>
      <left/>
      <right/>
      <top/>
    </border>
    <border>
      <left style="thin">
        <color rgb="FF000000"/>
      </left>
      <right/>
      <top style="thin">
        <color rgb="FF000000"/>
      </top>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bottom/>
    </border>
    <border>
      <left style="thin">
        <color rgb="FF000000"/>
      </left>
      <right/>
      <top style="thin">
        <color rgb="FF000000"/>
      </top>
      <bottom/>
    </border>
    <border>
      <left style="thin">
        <color rgb="FF000000"/>
      </left>
      <top style="thin">
        <color rgb="FF000000"/>
      </top>
    </border>
    <border>
      <left style="thin">
        <color rgb="FFB7B7B7"/>
      </left>
      <right style="thin">
        <color rgb="FFB7B7B7"/>
      </right>
      <top style="thin">
        <color rgb="FFB7B7B7"/>
      </top>
      <bottom style="thin">
        <color rgb="FFB7B7B7"/>
      </bottom>
    </border>
    <border>
      <left style="thin">
        <color rgb="FF000000"/>
      </left>
      <right/>
      <top style="thin">
        <color rgb="FF000000"/>
      </top>
      <bottom style="thin">
        <color rgb="FF000000"/>
      </bottom>
    </border>
    <border>
      <left/>
      <right/>
      <bottom/>
    </border>
    <border>
      <left/>
      <right style="thin">
        <color rgb="FF000000"/>
      </right>
      <top style="thin">
        <color rgb="FF000000"/>
      </top>
      <bottom style="thin">
        <color rgb="FF000000"/>
      </bottom>
    </border>
    <border>
      <left/>
      <top style="thin">
        <color rgb="FF000000"/>
      </top>
    </border>
    <border>
      <right/>
      <top style="thin">
        <color rgb="FF000000"/>
      </top>
    </border>
    <border>
      <right style="thin">
        <color rgb="FF000000"/>
      </right>
      <top style="thin">
        <color rgb="FF000000"/>
      </top>
    </border>
    <border>
      <left/>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style="thin">
        <color rgb="FF000000"/>
      </left>
      <bottom style="thin">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right style="dotted">
        <color rgb="FF000000"/>
      </right>
      <top style="dotted">
        <color rgb="FF000000"/>
      </top>
      <bottom style="dotted">
        <color rgb="FF000000"/>
      </bottom>
    </border>
    <border>
      <left style="dotted">
        <color rgb="FF000000"/>
      </left>
      <top/>
      <bottom/>
    </border>
    <border>
      <left style="dotted">
        <color rgb="FF000000"/>
      </left>
      <right/>
      <top style="dotted">
        <color rgb="FF000000"/>
      </top>
      <bottom style="dotted">
        <color rgb="FF000000"/>
      </bottom>
    </border>
    <border>
      <left/>
      <right/>
      <top style="dotted">
        <color rgb="FF000000"/>
      </top>
      <bottom style="dotted">
        <color rgb="FF000000"/>
      </bottom>
    </border>
    <border>
      <left/>
      <right style="dotted">
        <color rgb="FF000000"/>
      </right>
      <top/>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top style="dotted">
        <color rgb="FF000000"/>
      </top>
      <bottom/>
    </border>
    <border>
      <top style="dotted">
        <color rgb="FF000000"/>
      </top>
      <bottom/>
    </border>
    <border>
      <right/>
      <top style="dotted">
        <color rgb="FF000000"/>
      </top>
      <bottom/>
    </border>
    <border>
      <top style="thin">
        <color rgb="FF000000"/>
      </top>
      <bottom/>
    </border>
    <border>
      <lef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border>
    <border>
      <left style="thin">
        <color rgb="FF000000"/>
      </left>
      <right style="thin">
        <color rgb="FFFFFFFF"/>
      </right>
      <top style="thin">
        <color rgb="FF000000"/>
      </top>
      <bottom style="thin">
        <color rgb="FF000000"/>
      </bottom>
    </border>
    <border>
      <right style="thin">
        <color rgb="FFFFFFFF"/>
      </right>
      <top style="thin">
        <color rgb="FF000000"/>
      </top>
    </border>
    <border>
      <left style="thin">
        <color rgb="FF000000"/>
      </left>
      <right style="thin">
        <color rgb="FF000000"/>
      </right>
    </border>
    <border>
      <left style="dotted">
        <color rgb="FF000000"/>
      </left>
      <right/>
      <top/>
      <bottom/>
    </border>
    <border>
      <left style="dotted">
        <color rgb="FF000000"/>
      </left>
      <right style="dotted">
        <color rgb="FF000000"/>
      </right>
      <top style="dotted">
        <color rgb="FF000000"/>
      </top>
      <bottom style="dotted">
        <color rgb="FF000000"/>
      </bottom>
    </border>
    <border>
      <top style="dotted">
        <color rgb="FF000000"/>
      </top>
    </border>
    <border>
      <right style="dotted">
        <color rgb="FF000000"/>
      </right>
      <top style="dotted">
        <color rgb="FF000000"/>
      </top>
    </border>
    <border>
      <left style="dotted">
        <color rgb="FF000000"/>
      </left>
      <right/>
      <top style="dotted">
        <color rgb="FF000000"/>
      </top>
      <bottom/>
    </border>
    <border>
      <left/>
      <right/>
      <top style="thin">
        <color rgb="FF000000"/>
      </top>
    </border>
    <border>
      <left/>
      <right/>
      <top style="thin">
        <color rgb="FF000000"/>
      </top>
      <bottom/>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518">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3" fillId="0" borderId="0" applyAlignment="1" pivotButton="0" quotePrefix="0" xfId="0">
      <alignmen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6" fillId="2" borderId="1" applyAlignment="1" pivotButton="0" quotePrefix="0" xfId="0">
      <alignment vertical="center" wrapText="1"/>
    </xf>
    <xf numFmtId="0"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0" applyAlignment="1" pivotButton="0" quotePrefix="0" xfId="0">
      <alignment horizontal="center" vertical="center" wrapText="1"/>
    </xf>
    <xf numFmtId="0" fontId="8" fillId="0" borderId="2" pivotButton="0" quotePrefix="0" xfId="0"/>
    <xf numFmtId="0" fontId="1" fillId="0" borderId="2" applyAlignment="1" pivotButton="0" quotePrefix="0" xfId="0">
      <alignment horizontal="center" vertical="center"/>
    </xf>
    <xf numFmtId="0" fontId="9" fillId="0" borderId="2" pivotButton="0" quotePrefix="0" xfId="0"/>
    <xf numFmtId="0" fontId="10" fillId="0" borderId="2" applyAlignment="1" pivotButton="0" quotePrefix="0" xfId="0">
      <alignment horizontal="right" vertical="center" wrapText="1"/>
    </xf>
    <xf numFmtId="0" fontId="8" fillId="0" borderId="0" pivotButton="0" quotePrefix="0" xfId="0"/>
    <xf numFmtId="0" fontId="1" fillId="0" borderId="0" applyAlignment="1" pivotButton="0" quotePrefix="0" xfId="0">
      <alignment horizontal="center" vertical="center"/>
    </xf>
    <xf numFmtId="0" fontId="7" fillId="0" borderId="0" pivotButton="0" quotePrefix="0" xfId="0"/>
    <xf numFmtId="0" fontId="1" fillId="0" borderId="0" pivotButton="0" quotePrefix="0" xfId="0"/>
    <xf numFmtId="0" fontId="7" fillId="0" borderId="0" applyAlignment="1" pivotButton="0" quotePrefix="0" xfId="0">
      <alignment horizontal="right"/>
    </xf>
    <xf numFmtId="0" fontId="11" fillId="0" borderId="0" pivotButton="0" quotePrefix="0" xfId="0"/>
    <xf numFmtId="0" fontId="12" fillId="0" borderId="0" applyAlignment="1" pivotButton="0" quotePrefix="0" xfId="0">
      <alignment horizontal="center" vertical="center"/>
    </xf>
    <xf numFmtId="49" fontId="13" fillId="3" borderId="1" applyAlignment="1" pivotButton="0" quotePrefix="0" xfId="0">
      <alignment horizontal="center" vertical="center"/>
    </xf>
    <xf numFmtId="0" fontId="14" fillId="3" borderId="1" applyAlignment="1" pivotButton="0" quotePrefix="0" xfId="0">
      <alignment horizontal="center" vertical="center" wrapText="1"/>
    </xf>
    <xf numFmtId="49" fontId="15" fillId="0" borderId="3" applyAlignment="1" pivotButton="0" quotePrefix="0" xfId="0">
      <alignment horizontal="center" vertical="center"/>
    </xf>
    <xf numFmtId="49" fontId="15" fillId="0" borderId="4" applyAlignment="1" pivotButton="0" quotePrefix="0" xfId="0">
      <alignment horizontal="center" vertical="center" wrapText="1"/>
    </xf>
    <xf numFmtId="164" fontId="15" fillId="0" borderId="4" applyAlignment="1" pivotButton="0" quotePrefix="0" xfId="0">
      <alignment horizontal="center" vertical="center"/>
    </xf>
    <xf numFmtId="0" fontId="15" fillId="0" borderId="4" applyAlignment="1" pivotButton="0" quotePrefix="0" xfId="0">
      <alignment horizontal="center" vertical="center" wrapText="1"/>
    </xf>
    <xf numFmtId="49" fontId="15" fillId="0" borderId="4" applyAlignment="1" pivotButton="0" quotePrefix="0" xfId="0">
      <alignment horizontal="center" vertical="center"/>
    </xf>
    <xf numFmtId="49" fontId="15" fillId="0" borderId="4" applyAlignment="1" pivotButton="0" quotePrefix="0" xfId="0">
      <alignment horizontal="center" vertical="center" wrapText="1"/>
    </xf>
    <xf numFmtId="0" fontId="15" fillId="0" borderId="4" applyAlignment="1" pivotButton="0" quotePrefix="0" xfId="0">
      <alignment horizontal="center" vertical="center" wrapText="1"/>
    </xf>
    <xf numFmtId="49" fontId="15" fillId="0" borderId="4" applyAlignment="1" pivotButton="0" quotePrefix="0" xfId="0">
      <alignment horizontal="center" vertical="center"/>
    </xf>
    <xf numFmtId="0" fontId="16" fillId="0" borderId="0" pivotButton="0" quotePrefix="0" xfId="0"/>
    <xf numFmtId="0" fontId="13" fillId="3" borderId="5" applyAlignment="1" pivotButton="0" quotePrefix="0" xfId="0">
      <alignment horizontal="left" vertical="center" wrapText="1"/>
    </xf>
    <xf numFmtId="0" fontId="9" fillId="0" borderId="6" pivotButton="0" quotePrefix="0" xfId="0"/>
    <xf numFmtId="0" fontId="9" fillId="0" borderId="7" pivotButton="0" quotePrefix="0" xfId="0"/>
    <xf numFmtId="0" fontId="17" fillId="0" borderId="5" applyAlignment="1" pivotButton="0" quotePrefix="0" xfId="0">
      <alignment horizontal="left" vertical="top"/>
    </xf>
    <xf numFmtId="0" fontId="15" fillId="0" borderId="5" applyAlignment="1" pivotButton="0" quotePrefix="0" xfId="0">
      <alignment horizontal="left" vertical="center"/>
    </xf>
    <xf numFmtId="0" fontId="15" fillId="0" borderId="2" applyAlignment="1" pivotButton="0" quotePrefix="0" xfId="0">
      <alignment horizontal="left" vertical="center"/>
    </xf>
    <xf numFmtId="0" fontId="9" fillId="0" borderId="4" pivotButton="0" quotePrefix="0" xfId="0"/>
    <xf numFmtId="0" fontId="7" fillId="0" borderId="5" applyAlignment="1" pivotButton="0" quotePrefix="0" xfId="0">
      <alignment horizontal="left" vertical="center"/>
    </xf>
    <xf numFmtId="0" fontId="7" fillId="0" borderId="2" applyAlignment="1" pivotButton="0" quotePrefix="0" xfId="0">
      <alignment horizontal="left" vertical="center"/>
    </xf>
    <xf numFmtId="0" fontId="3" fillId="0" borderId="2" pivotButton="0" quotePrefix="0" xfId="0"/>
    <xf numFmtId="0" fontId="10" fillId="0" borderId="2" applyAlignment="1" pivotButton="0" quotePrefix="0" xfId="0">
      <alignment horizontal="right" vertical="center" wrapText="1"/>
    </xf>
    <xf numFmtId="0" fontId="18" fillId="4" borderId="8" applyAlignment="1" pivotButton="0" quotePrefix="0" xfId="0">
      <alignment horizontal="left" vertical="center"/>
    </xf>
    <xf numFmtId="0" fontId="9" fillId="0" borderId="9" pivotButton="0" quotePrefix="0" xfId="0"/>
    <xf numFmtId="0" fontId="9" fillId="0" borderId="10" pivotButton="0" quotePrefix="0" xfId="0"/>
    <xf numFmtId="0" fontId="19" fillId="5" borderId="11" applyAlignment="1" pivotButton="0" quotePrefix="0" xfId="0">
      <alignment horizontal="center" vertical="center" wrapText="1"/>
    </xf>
    <xf numFmtId="0" fontId="20" fillId="5" borderId="11" applyAlignment="1" pivotButton="0" quotePrefix="0" xfId="0">
      <alignment horizontal="center" vertical="center"/>
    </xf>
    <xf numFmtId="0" fontId="19" fillId="5" borderId="11" applyAlignment="1" pivotButton="0" quotePrefix="0" xfId="0">
      <alignment horizontal="center" vertical="center"/>
    </xf>
    <xf numFmtId="0" fontId="3" fillId="5" borderId="11" applyAlignment="1" pivotButton="0" quotePrefix="0" xfId="0">
      <alignment vertical="center" wrapText="1"/>
    </xf>
    <xf numFmtId="0" fontId="13" fillId="3" borderId="1" applyAlignment="1" pivotButton="0" quotePrefix="0" xfId="0">
      <alignment horizontal="center" vertical="center" wrapText="1"/>
    </xf>
    <xf numFmtId="0" fontId="13" fillId="3" borderId="5" applyAlignment="1" pivotButton="0" quotePrefix="0" xfId="0">
      <alignment horizontal="center" vertical="center" wrapText="1"/>
    </xf>
    <xf numFmtId="0" fontId="15" fillId="0" borderId="0" applyAlignment="1" pivotButton="0" quotePrefix="0" xfId="0">
      <alignment vertical="center" wrapText="1"/>
    </xf>
    <xf numFmtId="0" fontId="15" fillId="0" borderId="1" applyAlignment="1" pivotButton="0" quotePrefix="0" xfId="0">
      <alignment horizontal="center" vertical="center" wrapText="1"/>
    </xf>
    <xf numFmtId="0" fontId="21" fillId="0" borderId="1" applyAlignment="1" pivotButton="0" quotePrefix="0" xfId="0">
      <alignment vertical="center" wrapText="1"/>
    </xf>
    <xf numFmtId="0" fontId="15" fillId="0" borderId="5" applyAlignment="1" pivotButton="0" quotePrefix="0" xfId="0">
      <alignment vertical="center" wrapText="1"/>
    </xf>
    <xf numFmtId="0" fontId="22" fillId="0" borderId="1" applyAlignment="1" pivotButton="0" quotePrefix="0" xfId="0">
      <alignment vertical="center" wrapText="1"/>
    </xf>
    <xf numFmtId="0" fontId="23" fillId="0" borderId="0" pivotButton="0" quotePrefix="0" xfId="0"/>
    <xf numFmtId="0" fontId="13" fillId="5" borderId="11" pivotButton="0" quotePrefix="0" xfId="0"/>
    <xf numFmtId="0" fontId="22" fillId="0" borderId="1" applyAlignment="1" pivotButton="0" quotePrefix="0" xfId="0">
      <alignment vertical="center" wrapText="1"/>
    </xf>
    <xf numFmtId="0" fontId="15" fillId="0" borderId="5" applyAlignment="1" pivotButton="0" quotePrefix="0" xfId="0">
      <alignment vertical="center" wrapText="1"/>
    </xf>
    <xf numFmtId="0" fontId="18" fillId="4" borderId="8" applyAlignment="1" pivotButton="0" quotePrefix="0" xfId="0">
      <alignment horizontal="left" vertical="top" wrapText="1"/>
    </xf>
    <xf numFmtId="0" fontId="23" fillId="0" borderId="0" applyAlignment="1" pivotButton="0" quotePrefix="0" xfId="0">
      <alignment vertical="center" wrapText="1"/>
    </xf>
    <xf numFmtId="0" fontId="2" fillId="0" borderId="0" applyAlignment="1" pivotButton="0" quotePrefix="0" xfId="0">
      <alignment vertical="center"/>
    </xf>
    <xf numFmtId="0" fontId="13" fillId="0" borderId="0" applyAlignment="1" pivotButton="0" quotePrefix="0" xfId="0">
      <alignment vertical="center" wrapText="1"/>
    </xf>
    <xf numFmtId="0" fontId="23" fillId="0" borderId="0" applyAlignment="1" pivotButton="0" quotePrefix="0" xfId="0">
      <alignment vertical="center" wrapText="1"/>
    </xf>
    <xf numFmtId="0" fontId="15" fillId="0" borderId="0" applyAlignment="1" pivotButton="0" quotePrefix="0" xfId="0">
      <alignment wrapText="1"/>
    </xf>
    <xf numFmtId="0" fontId="24" fillId="0" borderId="0" pivotButton="0" quotePrefix="0" xfId="0"/>
    <xf numFmtId="0" fontId="2" fillId="0" borderId="0" applyAlignment="1" pivotButton="0" quotePrefix="0" xfId="0">
      <alignment vertical="center" wrapText="1"/>
    </xf>
    <xf numFmtId="0" fontId="2" fillId="0" borderId="0" applyAlignment="1" pivotButton="0" quotePrefix="0" xfId="0">
      <alignment vertical="center" wrapText="1"/>
    </xf>
    <xf numFmtId="0" fontId="15" fillId="0" borderId="0" applyAlignment="1" pivotButton="0" quotePrefix="0" xfId="0">
      <alignment horizontal="left" wrapText="1"/>
    </xf>
    <xf numFmtId="0" fontId="17" fillId="0" borderId="0" applyAlignment="1" pivotButton="0" quotePrefix="0" xfId="0">
      <alignment horizontal="left" wrapText="1"/>
    </xf>
    <xf numFmtId="0" fontId="13" fillId="0" borderId="1" applyAlignment="1" pivotButton="0" quotePrefix="0" xfId="0">
      <alignment vertical="center" wrapText="1"/>
    </xf>
    <xf numFmtId="0" fontId="23" fillId="0" borderId="1" applyAlignment="1" pivotButton="0" quotePrefix="0" xfId="0">
      <alignment vertical="center" wrapText="1"/>
    </xf>
    <xf numFmtId="165" fontId="23" fillId="5" borderId="1" applyAlignment="1" pivotButton="0" quotePrefix="0" xfId="0">
      <alignment horizontal="right" vertical="center" wrapText="1"/>
    </xf>
    <xf numFmtId="0" fontId="2" fillId="0" borderId="0" pivotButton="0" quotePrefix="0" xfId="0"/>
    <xf numFmtId="0" fontId="23" fillId="5" borderId="1" applyAlignment="1" pivotButton="0" quotePrefix="0" xfId="0">
      <alignment vertical="center"/>
    </xf>
    <xf numFmtId="0" fontId="23" fillId="0" borderId="1" applyAlignment="1" pivotButton="0" quotePrefix="0" xfId="0">
      <alignment vertical="center" wrapText="1"/>
    </xf>
    <xf numFmtId="0" fontId="18" fillId="4" borderId="8" applyAlignment="1" pivotButton="0" quotePrefix="0" xfId="0">
      <alignment horizontal="left" vertical="center"/>
    </xf>
    <xf numFmtId="0" fontId="17" fillId="0" borderId="0" pivotButton="0" quotePrefix="0" xfId="0"/>
    <xf numFmtId="0" fontId="15" fillId="0" borderId="0" pivotButton="0" quotePrefix="0" xfId="0"/>
    <xf numFmtId="0" fontId="25" fillId="0" borderId="0" pivotButton="0" quotePrefix="0" xfId="0"/>
    <xf numFmtId="0" fontId="26" fillId="4" borderId="1" applyAlignment="1" pivotButton="0" quotePrefix="0" xfId="0">
      <alignment horizontal="center" vertical="center" wrapText="1"/>
    </xf>
    <xf numFmtId="0" fontId="26" fillId="4" borderId="5" applyAlignment="1" pivotButton="0" quotePrefix="0" xfId="0">
      <alignment horizontal="center" vertical="center" wrapText="1"/>
    </xf>
    <xf numFmtId="0" fontId="27" fillId="0" borderId="0" applyAlignment="1" pivotButton="0" quotePrefix="0" xfId="0">
      <alignment horizont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5" fillId="0" borderId="1" applyAlignment="1" pivotButton="0" quotePrefix="0" xfId="0">
      <alignment vertical="center" wrapText="1"/>
    </xf>
    <xf numFmtId="0" fontId="15" fillId="0" borderId="5" applyAlignment="1" pivotButton="0" quotePrefix="0" xfId="0">
      <alignment vertical="center" wrapText="1"/>
    </xf>
    <xf numFmtId="0" fontId="15" fillId="0" borderId="0" applyAlignment="1" pivotButton="0" quotePrefix="0" xfId="0">
      <alignment vertical="center"/>
    </xf>
    <xf numFmtId="0" fontId="28" fillId="5" borderId="4" applyAlignment="1" pivotButton="0" quotePrefix="0" xfId="0">
      <alignment horizontal="left"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xf>
    <xf numFmtId="0" fontId="31" fillId="0" borderId="0" applyAlignment="1" pivotButton="0" quotePrefix="0" xfId="0">
      <alignment vertical="center"/>
    </xf>
    <xf numFmtId="0" fontId="31" fillId="0" borderId="12" applyAlignment="1" pivotButton="0" quotePrefix="0" xfId="0">
      <alignment vertical="center"/>
    </xf>
    <xf numFmtId="0" fontId="32" fillId="0" borderId="0" applyAlignment="1" pivotButton="0" quotePrefix="0" xfId="0">
      <alignment horizontal="center" vertical="center" wrapText="1"/>
    </xf>
    <xf numFmtId="0" fontId="33" fillId="5" borderId="13" applyAlignment="1" pivotButton="0" quotePrefix="0" xfId="0">
      <alignment horizontal="center" vertical="center"/>
    </xf>
    <xf numFmtId="0" fontId="9" fillId="0" borderId="14" pivotButton="0" quotePrefix="0" xfId="0"/>
    <xf numFmtId="0" fontId="9" fillId="0" borderId="15" pivotButton="0" quotePrefix="0" xfId="0"/>
    <xf numFmtId="0" fontId="34" fillId="0" borderId="4" applyAlignment="1" pivotButton="0" quotePrefix="0" xfId="0">
      <alignment horizontal="right" vertical="center" wrapText="1"/>
    </xf>
    <xf numFmtId="0" fontId="34" fillId="0" borderId="0" applyAlignment="1" pivotButton="0" quotePrefix="0" xfId="0">
      <alignment horizontal="right" vertical="center" wrapText="1"/>
    </xf>
    <xf numFmtId="0" fontId="29" fillId="0" borderId="16" applyAlignment="1" pivotButton="0" quotePrefix="0" xfId="0">
      <alignment horizontal="center" vertical="center" wrapText="1"/>
    </xf>
    <xf numFmtId="0" fontId="13" fillId="5" borderId="17" applyAlignment="1" pivotButton="0" quotePrefix="0" xfId="0">
      <alignment horizontal="center" vertical="center"/>
    </xf>
    <xf numFmtId="0" fontId="13" fillId="5" borderId="11" applyAlignment="1" pivotButton="0" quotePrefix="0" xfId="0">
      <alignment vertical="center"/>
    </xf>
    <xf numFmtId="0" fontId="13" fillId="5" borderId="8" applyAlignment="1" pivotButton="0" quotePrefix="0" xfId="0">
      <alignment vertical="center"/>
    </xf>
    <xf numFmtId="0" fontId="35" fillId="4" borderId="5" applyAlignment="1" pivotButton="0" quotePrefix="0" xfId="0">
      <alignment horizontal="center" vertical="center"/>
    </xf>
    <xf numFmtId="0" fontId="35" fillId="4" borderId="6" applyAlignment="1" pivotButton="0" quotePrefix="0" xfId="0">
      <alignment horizontal="center" vertical="center"/>
    </xf>
    <xf numFmtId="0" fontId="35" fillId="4" borderId="0" applyAlignment="1" pivotButton="0" quotePrefix="0" xfId="0">
      <alignment horizontal="center" vertical="center"/>
    </xf>
    <xf numFmtId="0" fontId="35" fillId="4" borderId="1" applyAlignment="1" pivotButton="0" quotePrefix="0" xfId="0">
      <alignment horizontal="center" vertical="center"/>
    </xf>
    <xf numFmtId="0" fontId="35" fillId="4" borderId="1" applyAlignment="1" pivotButton="0" quotePrefix="0" xfId="0">
      <alignment horizontal="center" vertical="center"/>
    </xf>
    <xf numFmtId="0" fontId="23" fillId="5" borderId="1" applyAlignment="1" pivotButton="0" quotePrefix="0" xfId="0">
      <alignment horizontal="center" vertical="center"/>
    </xf>
    <xf numFmtId="0" fontId="23" fillId="5" borderId="0" applyAlignment="1" pivotButton="0" quotePrefix="0" xfId="0">
      <alignment horizontal="center" vertical="center"/>
    </xf>
    <xf numFmtId="165" fontId="23" fillId="5" borderId="1" applyAlignment="1" pivotButton="0" quotePrefix="0" xfId="0">
      <alignment horizontal="center" vertical="center" textRotation="180"/>
    </xf>
    <xf numFmtId="165" fontId="23" fillId="5" borderId="0" applyAlignment="1" pivotButton="0" quotePrefix="0" xfId="0">
      <alignment horizontal="center" vertical="center" textRotation="180"/>
    </xf>
    <xf numFmtId="0" fontId="17" fillId="6" borderId="1" applyAlignment="1" pivotButton="0" quotePrefix="0" xfId="0">
      <alignment horizontal="center" vertical="center"/>
    </xf>
    <xf numFmtId="0" fontId="17" fillId="6" borderId="1" applyAlignment="1" pivotButton="0" quotePrefix="0" xfId="0">
      <alignment vertical="center" wrapText="1"/>
    </xf>
    <xf numFmtId="165" fontId="17" fillId="6" borderId="5" applyAlignment="1" pivotButton="0" quotePrefix="0" xfId="0">
      <alignment horizontal="right" vertical="center" wrapText="1"/>
    </xf>
    <xf numFmtId="14" fontId="23" fillId="5" borderId="1" applyAlignment="1" pivotButton="0" quotePrefix="0" xfId="0">
      <alignment vertical="center"/>
    </xf>
    <xf numFmtId="0" fontId="23" fillId="5" borderId="1" applyAlignment="1" pivotButton="0" quotePrefix="0" xfId="0">
      <alignment vertical="center"/>
    </xf>
    <xf numFmtId="0" fontId="23" fillId="5" borderId="0" applyAlignment="1" pivotButton="0" quotePrefix="0" xfId="0">
      <alignment vertical="center"/>
    </xf>
    <xf numFmtId="0" fontId="15" fillId="5" borderId="1" applyAlignment="1" pivotButton="0" quotePrefix="0" xfId="0">
      <alignment horizontal="center" vertical="center"/>
    </xf>
    <xf numFmtId="0" fontId="15" fillId="5" borderId="1" applyAlignment="1" pivotButton="0" quotePrefix="0" xfId="0">
      <alignment vertical="center" wrapText="1"/>
    </xf>
    <xf numFmtId="165" fontId="15" fillId="5" borderId="1" applyAlignment="1" pivotButton="0" quotePrefix="0" xfId="0">
      <alignment vertical="center" wrapText="1"/>
    </xf>
    <xf numFmtId="14" fontId="23" fillId="0" borderId="1" applyAlignment="1" pivotButton="0" quotePrefix="0" xfId="0">
      <alignment vertical="center"/>
    </xf>
    <xf numFmtId="0" fontId="36" fillId="0" borderId="0" applyAlignment="1" pivotButton="0" quotePrefix="0" xfId="0">
      <alignment vertical="center"/>
    </xf>
    <xf numFmtId="0" fontId="23" fillId="0" borderId="1" applyAlignment="1" pivotButton="0" quotePrefix="0" xfId="0">
      <alignment vertical="center"/>
    </xf>
    <xf numFmtId="0" fontId="23" fillId="0" borderId="0" applyAlignment="1" pivotButton="0" quotePrefix="0" xfId="0">
      <alignment vertical="center"/>
    </xf>
    <xf numFmtId="0" fontId="15" fillId="5" borderId="1" applyAlignment="1" pivotButton="0" quotePrefix="0" xfId="0">
      <alignment vertical="center"/>
    </xf>
    <xf numFmtId="0" fontId="17" fillId="7" borderId="1" applyAlignment="1" pivotButton="0" quotePrefix="0" xfId="0">
      <alignment horizontal="left" vertical="center"/>
    </xf>
    <xf numFmtId="0" fontId="17" fillId="7" borderId="1" applyAlignment="1" pivotButton="0" quotePrefix="0" xfId="0">
      <alignment vertical="center" wrapText="1"/>
    </xf>
    <xf numFmtId="165" fontId="17" fillId="7" borderId="5" applyAlignment="1" pivotButton="0" quotePrefix="0" xfId="0">
      <alignment horizontal="right" vertical="center" wrapText="1"/>
    </xf>
    <xf numFmtId="0" fontId="17" fillId="8" borderId="1" applyAlignment="1" pivotButton="0" quotePrefix="0" xfId="0">
      <alignment horizontal="left" vertical="center"/>
    </xf>
    <xf numFmtId="0" fontId="17" fillId="8" borderId="1" applyAlignment="1" pivotButton="0" quotePrefix="0" xfId="0">
      <alignment vertical="center" wrapText="1"/>
    </xf>
    <xf numFmtId="165" fontId="17" fillId="8" borderId="5" applyAlignment="1" pivotButton="0" quotePrefix="0" xfId="0">
      <alignment horizontal="right" vertical="center" wrapText="1"/>
    </xf>
    <xf numFmtId="0" fontId="17" fillId="6" borderId="1" applyAlignment="1" pivotButton="0" quotePrefix="0" xfId="0">
      <alignment horizontal="left" vertical="center"/>
    </xf>
    <xf numFmtId="0" fontId="17" fillId="5" borderId="1" applyAlignment="1" pivotButton="0" quotePrefix="0" xfId="0">
      <alignment horizontal="center" vertical="center"/>
    </xf>
    <xf numFmtId="0" fontId="17" fillId="5" borderId="1" applyAlignment="1" pivotButton="0" quotePrefix="0" xfId="0">
      <alignment vertical="center" wrapText="1"/>
    </xf>
    <xf numFmtId="165" fontId="17" fillId="5" borderId="5" applyAlignment="1" pivotButton="0" quotePrefix="0" xfId="0">
      <alignment horizontal="right" vertical="center" wrapText="1"/>
    </xf>
    <xf numFmtId="0" fontId="17" fillId="5" borderId="1" applyAlignment="1" pivotButton="0" quotePrefix="0" xfId="0">
      <alignment vertical="center" wrapText="1"/>
    </xf>
    <xf numFmtId="14" fontId="23" fillId="9" borderId="1" applyAlignment="1" pivotButton="0" quotePrefix="0" xfId="0">
      <alignment vertical="center"/>
    </xf>
    <xf numFmtId="0" fontId="23" fillId="9" borderId="1" applyAlignment="1" pivotButton="0" quotePrefix="0" xfId="0">
      <alignment vertical="center"/>
    </xf>
    <xf numFmtId="0" fontId="23" fillId="9" borderId="0" applyAlignment="1" pivotButton="0" quotePrefix="0" xfId="0">
      <alignment vertical="center"/>
    </xf>
    <xf numFmtId="0" fontId="17" fillId="6" borderId="1" applyAlignment="1" pivotButton="0" quotePrefix="0" xfId="0">
      <alignment vertical="center"/>
    </xf>
    <xf numFmtId="0" fontId="24" fillId="6" borderId="1" applyAlignment="1" pivotButton="0" quotePrefix="0" xfId="0">
      <alignment vertical="center"/>
    </xf>
    <xf numFmtId="165" fontId="17" fillId="6" borderId="5" applyAlignment="1" pivotButton="0" quotePrefix="0" xfId="0">
      <alignment vertical="center"/>
    </xf>
    <xf numFmtId="14" fontId="37" fillId="5" borderId="1" applyAlignment="1" pivotButton="0" quotePrefix="0" xfId="0">
      <alignment vertical="center"/>
    </xf>
    <xf numFmtId="0" fontId="37" fillId="5" borderId="1" applyAlignment="1" pivotButton="0" quotePrefix="0" xfId="0">
      <alignment vertical="center"/>
    </xf>
    <xf numFmtId="0" fontId="37" fillId="5" borderId="0" applyAlignment="1" pivotButton="0" quotePrefix="0" xfId="0">
      <alignment vertical="center"/>
    </xf>
    <xf numFmtId="0" fontId="17" fillId="8" borderId="1" applyAlignment="1" pivotButton="0" quotePrefix="0" xfId="0">
      <alignment vertical="center"/>
    </xf>
    <xf numFmtId="0" fontId="24" fillId="8" borderId="1" applyAlignment="1" pivotButton="0" quotePrefix="0" xfId="0">
      <alignment vertical="center"/>
    </xf>
    <xf numFmtId="14" fontId="37" fillId="10" borderId="1" applyAlignment="1" pivotButton="0" quotePrefix="0" xfId="0">
      <alignment vertical="center"/>
    </xf>
    <xf numFmtId="14" fontId="37" fillId="9" borderId="1" applyAlignment="1" pivotButton="0" quotePrefix="0" xfId="0">
      <alignment vertical="center"/>
    </xf>
    <xf numFmtId="0" fontId="37" fillId="10" borderId="1" applyAlignment="1" pivotButton="0" quotePrefix="0" xfId="0">
      <alignment vertical="center"/>
    </xf>
    <xf numFmtId="0" fontId="37" fillId="10" borderId="0" applyAlignment="1" pivotButton="0" quotePrefix="0" xfId="0">
      <alignment vertical="center"/>
    </xf>
    <xf numFmtId="0" fontId="17" fillId="8" borderId="16" applyAlignment="1" pivotButton="0" quotePrefix="0" xfId="0">
      <alignment vertical="center"/>
    </xf>
    <xf numFmtId="0" fontId="24" fillId="8" borderId="16" applyAlignment="1" pivotButton="0" quotePrefix="0" xfId="0">
      <alignment vertical="center"/>
    </xf>
    <xf numFmtId="165" fontId="17" fillId="8" borderId="1" applyAlignment="1" pivotButton="0" quotePrefix="0" xfId="0">
      <alignment horizontal="right" vertical="center" wrapText="1"/>
    </xf>
    <xf numFmtId="14" fontId="37" fillId="10" borderId="7" applyAlignment="1" pivotButton="0" quotePrefix="0" xfId="0">
      <alignment vertical="center"/>
    </xf>
    <xf numFmtId="14" fontId="37" fillId="9" borderId="7" applyAlignment="1" pivotButton="0" quotePrefix="0" xfId="0">
      <alignment vertical="center"/>
    </xf>
    <xf numFmtId="0" fontId="37" fillId="10" borderId="7" applyAlignment="1" pivotButton="0" quotePrefix="0" xfId="0">
      <alignment vertical="center"/>
    </xf>
    <xf numFmtId="0" fontId="17" fillId="5" borderId="16" applyAlignment="1" pivotButton="0" quotePrefix="0" xfId="0">
      <alignment horizontal="center" vertical="center"/>
    </xf>
    <xf numFmtId="0" fontId="17" fillId="5" borderId="16" applyAlignment="1" pivotButton="0" quotePrefix="0" xfId="0">
      <alignment vertical="center" wrapText="1"/>
    </xf>
    <xf numFmtId="165" fontId="17" fillId="5" borderId="16" applyAlignment="1" pivotButton="0" quotePrefix="0" xfId="0">
      <alignment horizontal="right" vertical="center" wrapText="1"/>
    </xf>
    <xf numFmtId="0" fontId="26" fillId="11" borderId="6" applyAlignment="1" pivotButton="0" quotePrefix="0" xfId="0">
      <alignment horizontal="center" vertical="center"/>
    </xf>
    <xf numFmtId="0" fontId="26" fillId="11" borderId="0" applyAlignment="1" pivotButton="0" quotePrefix="0" xfId="0">
      <alignment horizontal="center" vertical="center"/>
    </xf>
    <xf numFmtId="0" fontId="38" fillId="5" borderId="0" applyAlignment="1" pivotButton="0" quotePrefix="0" xfId="0">
      <alignment horizontal="left"/>
    </xf>
    <xf numFmtId="0" fontId="38" fillId="5" borderId="0" applyAlignment="1" pivotButton="0" quotePrefix="0" xfId="0">
      <alignment horizontal="center"/>
    </xf>
    <xf numFmtId="2" fontId="39" fillId="5" borderId="0" applyAlignment="1" pivotButton="0" quotePrefix="0" xfId="0">
      <alignment horizontal="center"/>
    </xf>
    <xf numFmtId="0" fontId="36" fillId="5" borderId="0" pivotButton="0" quotePrefix="0" xfId="0"/>
    <xf numFmtId="0" fontId="33" fillId="12" borderId="5" applyAlignment="1" pivotButton="0" quotePrefix="0" xfId="0">
      <alignment horizontal="center" vertical="center" wrapText="1"/>
    </xf>
    <xf numFmtId="0" fontId="9" fillId="12" borderId="6" pivotButton="0" quotePrefix="0" xfId="0"/>
    <xf numFmtId="0" fontId="9" fillId="12" borderId="18" pivotButton="0" quotePrefix="0" xfId="0"/>
    <xf numFmtId="0" fontId="10" fillId="12" borderId="6" applyAlignment="1" pivotButton="0" quotePrefix="0" xfId="0">
      <alignment horizontal="right" vertical="center" wrapText="1"/>
    </xf>
    <xf numFmtId="0" fontId="9" fillId="12" borderId="7" pivotButton="0" quotePrefix="0" xfId="0"/>
    <xf numFmtId="0" fontId="40" fillId="12" borderId="19" applyAlignment="1" pivotButton="0" quotePrefix="0" xfId="0">
      <alignment horizontal="center" wrapText="1"/>
    </xf>
    <xf numFmtId="0" fontId="40" fillId="12" borderId="20" applyAlignment="1" pivotButton="0" quotePrefix="0" xfId="0">
      <alignment horizontal="center" wrapText="1"/>
    </xf>
    <xf numFmtId="0" fontId="37" fillId="0" borderId="0" applyAlignment="1" pivotButton="0" quotePrefix="0" xfId="0">
      <alignment vertical="bottom"/>
    </xf>
    <xf numFmtId="0" fontId="35" fillId="13" borderId="0" applyAlignment="1" pivotButton="0" quotePrefix="0" xfId="0">
      <alignment horizontal="center"/>
    </xf>
    <xf numFmtId="0" fontId="35" fillId="13" borderId="3" applyAlignment="1" pivotButton="0" quotePrefix="0" xfId="0">
      <alignment horizontal="center"/>
    </xf>
    <xf numFmtId="2" fontId="39" fillId="13" borderId="3" applyAlignment="1" pivotButton="0" quotePrefix="0" xfId="0">
      <alignment horizontal="center"/>
    </xf>
    <xf numFmtId="0" fontId="36" fillId="0" borderId="0" applyAlignment="1" pivotButton="0" quotePrefix="0" xfId="0">
      <alignment horizontal="center"/>
    </xf>
    <xf numFmtId="0" fontId="17" fillId="7" borderId="1" applyAlignment="1" pivotButton="0" quotePrefix="0" xfId="0">
      <alignment horizontal="left"/>
    </xf>
    <xf numFmtId="0" fontId="15" fillId="7" borderId="1" pivotButton="0" quotePrefix="0" xfId="0"/>
    <xf numFmtId="165" fontId="17" fillId="7" borderId="1" applyAlignment="1" pivotButton="0" quotePrefix="0" xfId="0">
      <alignment horizontal="center"/>
    </xf>
    <xf numFmtId="2" fontId="17" fillId="7" borderId="1" applyAlignment="1" pivotButton="0" quotePrefix="0" xfId="0">
      <alignment horizontal="center"/>
    </xf>
    <xf numFmtId="9" fontId="41" fillId="5" borderId="0" pivotButton="0" quotePrefix="0" xfId="0"/>
    <xf numFmtId="0" fontId="41" fillId="5" borderId="0" pivotButton="0" quotePrefix="0" xfId="0"/>
    <xf numFmtId="0" fontId="17" fillId="6" borderId="1" applyAlignment="1" pivotButton="0" quotePrefix="0" xfId="0">
      <alignment horizontal="left" wrapText="1"/>
    </xf>
    <xf numFmtId="0" fontId="17" fillId="6" borderId="1" applyAlignment="1" pivotButton="0" quotePrefix="0" xfId="0">
      <alignment wrapText="1"/>
    </xf>
    <xf numFmtId="0" fontId="15" fillId="6" borderId="1" pivotButton="0" quotePrefix="0" xfId="0"/>
    <xf numFmtId="165" fontId="17" fillId="6" borderId="1" applyAlignment="1" pivotButton="0" quotePrefix="0" xfId="0">
      <alignment horizontal="center" wrapText="1"/>
    </xf>
    <xf numFmtId="2" fontId="17" fillId="6" borderId="1" applyAlignment="1" pivotButton="0" quotePrefix="0" xfId="0">
      <alignment horizontal="center" wrapText="1"/>
    </xf>
    <xf numFmtId="9" fontId="36" fillId="5" borderId="0" pivotButton="0" quotePrefix="0" xfId="0"/>
    <xf numFmtId="0" fontId="15" fillId="0" borderId="1" applyAlignment="1" pivotButton="0" quotePrefix="0" xfId="0">
      <alignment horizontal="left"/>
    </xf>
    <xf numFmtId="0" fontId="15" fillId="0" borderId="1" pivotButton="0" quotePrefix="0" xfId="0"/>
    <xf numFmtId="165" fontId="15" fillId="0" borderId="1" applyAlignment="1" pivotButton="0" quotePrefix="0" xfId="0">
      <alignment horizontal="center"/>
    </xf>
    <xf numFmtId="2" fontId="15" fillId="5" borderId="1" applyAlignment="1" pivotButton="0" quotePrefix="0" xfId="0">
      <alignment horizontal="center" wrapText="1"/>
    </xf>
    <xf numFmtId="2" fontId="17" fillId="7" borderId="1" applyAlignment="1" pivotButton="0" quotePrefix="0" xfId="0">
      <alignment horizontal="center" wrapText="1"/>
    </xf>
    <xf numFmtId="0" fontId="17" fillId="8" borderId="1" applyAlignment="1" pivotButton="0" quotePrefix="0" xfId="0">
      <alignment horizontal="left"/>
    </xf>
    <xf numFmtId="0" fontId="15" fillId="8" borderId="1" pivotButton="0" quotePrefix="0" xfId="0"/>
    <xf numFmtId="165" fontId="17" fillId="8" borderId="1" applyAlignment="1" pivotButton="0" quotePrefix="0" xfId="0">
      <alignment horizontal="center"/>
    </xf>
    <xf numFmtId="2" fontId="17" fillId="8" borderId="1" applyAlignment="1" pivotButton="0" quotePrefix="0" xfId="0">
      <alignment horizontal="center" wrapText="1"/>
    </xf>
    <xf numFmtId="165" fontId="17" fillId="6" borderId="1" applyAlignment="1" pivotButton="0" quotePrefix="0" xfId="0">
      <alignment horizontal="center"/>
    </xf>
    <xf numFmtId="2" fontId="17" fillId="6" borderId="1" applyAlignment="1" pivotButton="0" quotePrefix="0" xfId="0">
      <alignment horizontal="center" wrapText="1"/>
    </xf>
    <xf numFmtId="0" fontId="36" fillId="5" borderId="0" pivotButton="0" quotePrefix="0" xfId="0"/>
    <xf numFmtId="0" fontId="17" fillId="8" borderId="1" applyAlignment="1" pivotButton="0" quotePrefix="0" xfId="0">
      <alignment horizontal="left" vertical="bottom"/>
    </xf>
    <xf numFmtId="0" fontId="17" fillId="8" borderId="1" applyAlignment="1" pivotButton="0" quotePrefix="0" xfId="0">
      <alignment vertical="bottom"/>
    </xf>
    <xf numFmtId="165" fontId="17" fillId="8" borderId="1" applyAlignment="1" pivotButton="0" quotePrefix="0" xfId="0">
      <alignment horizontal="center" vertical="bottom"/>
    </xf>
    <xf numFmtId="2" fontId="17" fillId="8" borderId="1" applyAlignment="1" pivotButton="0" quotePrefix="0" xfId="0">
      <alignment horizontal="center" vertical="bottom"/>
    </xf>
    <xf numFmtId="0" fontId="17" fillId="0" borderId="5" applyAlignment="1" pivotButton="0" quotePrefix="0" xfId="0">
      <alignment horizontal="center"/>
    </xf>
    <xf numFmtId="164" fontId="17" fillId="5" borderId="1" applyAlignment="1" pivotButton="0" quotePrefix="0" xfId="0">
      <alignment horizontal="center" wrapText="1"/>
    </xf>
    <xf numFmtId="0" fontId="36" fillId="0" borderId="0" applyAlignment="1" pivotButton="0" quotePrefix="0" xfId="0">
      <alignment horizontal="left"/>
    </xf>
    <xf numFmtId="0" fontId="36" fillId="5" borderId="0" applyAlignment="1" pivotButton="0" quotePrefix="0" xfId="0">
      <alignment horizontal="center"/>
    </xf>
    <xf numFmtId="0" fontId="36" fillId="5" borderId="0" applyAlignment="1" pivotButton="0" quotePrefix="0" xfId="0">
      <alignment horizontal="center"/>
    </xf>
    <xf numFmtId="0" fontId="42" fillId="0" borderId="0" applyAlignment="1" pivotButton="0" quotePrefix="0" xfId="0">
      <alignment horizontal="center" vertical="top" wrapText="1"/>
    </xf>
    <xf numFmtId="0" fontId="3" fillId="0" borderId="0" applyAlignment="1" pivotButton="0" quotePrefix="0" xfId="0">
      <alignment horizontal="center"/>
    </xf>
    <xf numFmtId="0" fontId="34" fillId="0" borderId="2" pivotButton="0" quotePrefix="0" xfId="0"/>
    <xf numFmtId="0" fontId="33" fillId="5" borderId="17" applyAlignment="1" pivotButton="0" quotePrefix="0" xfId="0">
      <alignment horizontal="center" vertical="center" wrapText="1"/>
    </xf>
    <xf numFmtId="0" fontId="33" fillId="5" borderId="13" applyAlignment="1" pivotButton="0" quotePrefix="0" xfId="0">
      <alignment horizontal="center" vertical="center" wrapText="1"/>
    </xf>
    <xf numFmtId="0" fontId="43" fillId="4" borderId="8" applyAlignment="1" pivotButton="0" quotePrefix="0" xfId="0">
      <alignment horizontal="left"/>
    </xf>
    <xf numFmtId="0" fontId="23" fillId="5" borderId="21" pivotButton="0" quotePrefix="0" xfId="0"/>
    <xf numFmtId="0" fontId="9" fillId="0" borderId="22" pivotButton="0" quotePrefix="0" xfId="0"/>
    <xf numFmtId="0" fontId="9" fillId="0" borderId="23" pivotButton="0" quotePrefix="0" xfId="0"/>
    <xf numFmtId="0" fontId="9" fillId="0" borderId="24" pivotButton="0" quotePrefix="0" xfId="0"/>
    <xf numFmtId="0" fontId="9" fillId="0" borderId="25" pivotButton="0" quotePrefix="0" xfId="0"/>
    <xf numFmtId="0" fontId="9" fillId="0" borderId="26" pivotButton="0" quotePrefix="0" xfId="0"/>
    <xf numFmtId="0" fontId="9" fillId="0" borderId="27" pivotButton="0" quotePrefix="0" xfId="0"/>
    <xf numFmtId="0" fontId="9" fillId="0" borderId="28" pivotButton="0" quotePrefix="0" xfId="0"/>
    <xf numFmtId="0" fontId="23" fillId="5" borderId="11" pivotButton="0" quotePrefix="0" xfId="0"/>
    <xf numFmtId="0" fontId="23" fillId="5" borderId="11" applyAlignment="1" pivotButton="0" quotePrefix="0" xfId="0">
      <alignment horizontal="center"/>
    </xf>
    <xf numFmtId="0" fontId="7" fillId="0" borderId="0" applyAlignment="1" pivotButton="0" quotePrefix="0" xfId="0">
      <alignment vertical="top"/>
    </xf>
    <xf numFmtId="0" fontId="43" fillId="4" borderId="21" applyAlignment="1" pivotButton="0" quotePrefix="0" xfId="0">
      <alignment horizontal="left"/>
    </xf>
    <xf numFmtId="0" fontId="23" fillId="5" borderId="29" pivotButton="0" quotePrefix="0" xfId="0"/>
    <xf numFmtId="0" fontId="23" fillId="5" borderId="29" applyAlignment="1" pivotButton="0" quotePrefix="0" xfId="0">
      <alignment horizontal="center"/>
    </xf>
    <xf numFmtId="0" fontId="17" fillId="3" borderId="30" applyAlignment="1" pivotButton="0" quotePrefix="0" xfId="0">
      <alignment horizontal="center" vertical="center"/>
    </xf>
    <xf numFmtId="0" fontId="17" fillId="3" borderId="30" applyAlignment="1" pivotButton="0" quotePrefix="0" xfId="0">
      <alignment horizontal="center" vertical="center"/>
    </xf>
    <xf numFmtId="0" fontId="17" fillId="3" borderId="5" applyAlignment="1" pivotButton="0" quotePrefix="0" xfId="0">
      <alignment horizontal="center" vertical="center"/>
    </xf>
    <xf numFmtId="0" fontId="9" fillId="0" borderId="31" pivotButton="0" quotePrefix="0" xfId="0"/>
    <xf numFmtId="0" fontId="17" fillId="3" borderId="32" applyAlignment="1" pivotButton="0" quotePrefix="0" xfId="0">
      <alignment horizontal="center" vertical="center"/>
    </xf>
    <xf numFmtId="0" fontId="37" fillId="0" borderId="0" applyAlignment="1" pivotButton="0" quotePrefix="0" xfId="0">
      <alignment vertical="bottom"/>
    </xf>
    <xf numFmtId="0" fontId="9" fillId="0" borderId="33" pivotButton="0" quotePrefix="0" xfId="0"/>
    <xf numFmtId="0" fontId="17" fillId="3" borderId="34" applyAlignment="1" pivotButton="0" quotePrefix="0" xfId="0">
      <alignment horizontal="center" vertical="center" wrapText="1"/>
    </xf>
    <xf numFmtId="0" fontId="9" fillId="0" borderId="3" pivotButton="0" quotePrefix="0" xfId="0"/>
    <xf numFmtId="0" fontId="17" fillId="14" borderId="35" applyAlignment="1" pivotButton="0" quotePrefix="0" xfId="0">
      <alignment horizontal="left" vertical="center"/>
    </xf>
    <xf numFmtId="0" fontId="15" fillId="14" borderId="35" applyAlignment="1" pivotButton="0" quotePrefix="0" xfId="0">
      <alignment vertical="center"/>
    </xf>
    <xf numFmtId="9" fontId="15" fillId="14" borderId="35" applyAlignment="1" pivotButton="0" quotePrefix="0" xfId="0">
      <alignment horizontal="right" vertical="center"/>
    </xf>
    <xf numFmtId="2" fontId="17" fillId="14" borderId="35" applyAlignment="1" pivotButton="0" quotePrefix="0" xfId="0">
      <alignment horizontal="right" vertical="center"/>
    </xf>
    <xf numFmtId="165" fontId="15" fillId="14" borderId="35" applyAlignment="1" pivotButton="0" quotePrefix="0" xfId="0">
      <alignment horizontal="right" vertical="center"/>
    </xf>
    <xf numFmtId="165" fontId="15" fillId="14" borderId="35" applyAlignment="1" pivotButton="0" quotePrefix="0" xfId="0">
      <alignment horizontal="right" vertical="center"/>
    </xf>
    <xf numFmtId="165" fontId="15" fillId="14" borderId="35" applyAlignment="1" pivotButton="0" quotePrefix="0" xfId="0">
      <alignment horizontal="right" vertical="center"/>
    </xf>
    <xf numFmtId="0" fontId="37" fillId="14" borderId="35" applyAlignment="1" pivotButton="0" quotePrefix="0" xfId="0">
      <alignment vertical="center"/>
    </xf>
    <xf numFmtId="0" fontId="37" fillId="14" borderId="1" applyAlignment="1" pivotButton="0" quotePrefix="0" xfId="0">
      <alignment vertical="center"/>
    </xf>
    <xf numFmtId="0" fontId="15" fillId="5" borderId="1" applyAlignment="1" pivotButton="0" quotePrefix="0" xfId="0">
      <alignment horizontal="center" vertical="center"/>
    </xf>
    <xf numFmtId="0" fontId="15" fillId="0" borderId="1" applyAlignment="1" pivotButton="0" quotePrefix="0" xfId="0">
      <alignment vertical="center"/>
    </xf>
    <xf numFmtId="9" fontId="15" fillId="0" borderId="1" applyAlignment="1" pivotButton="0" quotePrefix="0" xfId="0">
      <alignment horizontal="right" vertical="center"/>
    </xf>
    <xf numFmtId="2" fontId="15" fillId="0" borderId="1" applyAlignment="1" pivotButton="0" quotePrefix="0" xfId="0">
      <alignment horizontal="right" vertical="center"/>
    </xf>
    <xf numFmtId="165" fontId="15" fillId="5" borderId="1" applyAlignment="1" pivotButton="0" quotePrefix="0" xfId="0">
      <alignment horizontal="right" vertical="center"/>
    </xf>
    <xf numFmtId="165" fontId="15" fillId="0" borderId="1" applyAlignment="1" pivotButton="0" quotePrefix="0" xfId="0">
      <alignment horizontal="right" vertical="center"/>
    </xf>
    <xf numFmtId="165" fontId="15" fillId="5" borderId="1" applyAlignment="1" pivotButton="0" quotePrefix="0" xfId="0">
      <alignment horizontal="right" vertical="center"/>
    </xf>
    <xf numFmtId="0" fontId="37" fillId="5" borderId="1" applyAlignment="1" pivotButton="0" quotePrefix="0" xfId="0">
      <alignment vertical="center"/>
    </xf>
    <xf numFmtId="0" fontId="15" fillId="0" borderId="1" applyAlignment="1" pivotButton="0" quotePrefix="0" xfId="0">
      <alignment vertical="center"/>
    </xf>
    <xf numFmtId="9" fontId="15" fillId="5" borderId="1" applyAlignment="1" pivotButton="0" quotePrefix="0" xfId="0">
      <alignment horizontal="right" vertical="center"/>
    </xf>
    <xf numFmtId="0" fontId="37" fillId="5" borderId="0" applyAlignment="1" pivotButton="0" quotePrefix="0" xfId="0">
      <alignment vertical="bottom"/>
    </xf>
    <xf numFmtId="9" fontId="15" fillId="0" borderId="1" applyAlignment="1" pivotButton="0" quotePrefix="0" xfId="0">
      <alignment horizontal="right" vertical="center"/>
    </xf>
    <xf numFmtId="0" fontId="17" fillId="14" borderId="1" applyAlignment="1" pivotButton="0" quotePrefix="0" xfId="0">
      <alignment horizontal="left" vertical="center"/>
    </xf>
    <xf numFmtId="0" fontId="15" fillId="14" borderId="1" applyAlignment="1" pivotButton="0" quotePrefix="0" xfId="0">
      <alignment vertical="center"/>
    </xf>
    <xf numFmtId="9" fontId="15" fillId="14" borderId="1" applyAlignment="1" pivotButton="0" quotePrefix="0" xfId="0">
      <alignment horizontal="right" vertical="center"/>
    </xf>
    <xf numFmtId="2" fontId="17" fillId="14" borderId="1" applyAlignment="1" pivotButton="0" quotePrefix="0" xfId="0">
      <alignment horizontal="right" vertical="center"/>
    </xf>
    <xf numFmtId="165" fontId="15" fillId="14" borderId="1" applyAlignment="1" pivotButton="0" quotePrefix="0" xfId="0">
      <alignment horizontal="right" vertical="center"/>
    </xf>
    <xf numFmtId="165" fontId="15" fillId="14" borderId="1" applyAlignment="1" pivotButton="0" quotePrefix="0" xfId="0">
      <alignment horizontal="right" vertical="center"/>
    </xf>
    <xf numFmtId="165" fontId="15" fillId="14" borderId="1" applyAlignment="1" pivotButton="0" quotePrefix="0" xfId="0">
      <alignment horizontal="right" vertical="center"/>
    </xf>
    <xf numFmtId="0" fontId="15" fillId="5" borderId="36" applyAlignment="1" pivotButton="0" quotePrefix="0" xfId="0">
      <alignment vertical="center"/>
    </xf>
    <xf numFmtId="0" fontId="37" fillId="0" borderId="1" applyAlignment="1" pivotButton="0" quotePrefix="0" xfId="0">
      <alignment vertical="center"/>
    </xf>
    <xf numFmtId="0" fontId="15" fillId="0" borderId="1" applyAlignment="1" pivotButton="0" quotePrefix="0" xfId="0">
      <alignment horizontal="right" vertical="center"/>
    </xf>
    <xf numFmtId="166" fontId="37" fillId="5" borderId="1" applyAlignment="1" pivotButton="0" quotePrefix="0" xfId="0">
      <alignment vertical="center"/>
    </xf>
    <xf numFmtId="0" fontId="15" fillId="14" borderId="1" applyAlignment="1" pivotButton="0" quotePrefix="0" xfId="0">
      <alignment vertical="center"/>
    </xf>
    <xf numFmtId="2" fontId="15" fillId="14" borderId="1" applyAlignment="1" pivotButton="0" quotePrefix="0" xfId="0">
      <alignment horizontal="right" vertical="center"/>
    </xf>
    <xf numFmtId="166" fontId="37" fillId="14" borderId="1" applyAlignment="1" pivotButton="0" quotePrefix="0" xfId="0">
      <alignment vertical="center"/>
    </xf>
    <xf numFmtId="166" fontId="15" fillId="5" borderId="1" applyAlignment="1" pivotButton="0" quotePrefix="0" xfId="0">
      <alignment horizontal="right" vertical="center"/>
    </xf>
    <xf numFmtId="0" fontId="15" fillId="5" borderId="1" applyAlignment="1" pivotButton="0" quotePrefix="0" xfId="0">
      <alignment horizontal="right" vertical="center"/>
    </xf>
    <xf numFmtId="0" fontId="37" fillId="14" borderId="1" applyAlignment="1" pivotButton="0" quotePrefix="0" xfId="0">
      <alignment vertical="center"/>
    </xf>
    <xf numFmtId="0" fontId="37" fillId="5" borderId="1" applyAlignment="1" pivotButton="0" quotePrefix="0" xfId="0">
      <alignment vertical="center"/>
    </xf>
    <xf numFmtId="167" fontId="37" fillId="5" borderId="1" applyAlignment="1" pivotButton="0" quotePrefix="0" xfId="0">
      <alignment vertical="center"/>
    </xf>
    <xf numFmtId="0" fontId="2" fillId="0" borderId="1" applyAlignment="1" pivotButton="0" quotePrefix="0" xfId="0">
      <alignment vertical="center"/>
    </xf>
    <xf numFmtId="0" fontId="37" fillId="0" borderId="0" applyAlignment="1" pivotButton="0" quotePrefix="0" xfId="0">
      <alignment vertical="center"/>
    </xf>
    <xf numFmtId="0" fontId="37" fillId="0" borderId="0" applyAlignment="1" pivotButton="0" quotePrefix="0" xfId="0">
      <alignment vertical="center"/>
    </xf>
    <xf numFmtId="0" fontId="37" fillId="0" borderId="0" applyAlignment="1" pivotButton="0" quotePrefix="0" xfId="0">
      <alignment vertical="center"/>
    </xf>
    <xf numFmtId="164" fontId="24" fillId="0" borderId="0" applyAlignment="1" pivotButton="0" quotePrefix="0" xfId="0">
      <alignment horizontal="right" vertical="center"/>
    </xf>
    <xf numFmtId="165" fontId="37" fillId="0" borderId="0" applyAlignment="1" pivotButton="0" quotePrefix="0" xfId="0">
      <alignment vertical="center"/>
    </xf>
    <xf numFmtId="165" fontId="37" fillId="0" borderId="0" applyAlignment="1" pivotButton="0" quotePrefix="0" xfId="0">
      <alignment vertical="center"/>
    </xf>
    <xf numFmtId="167" fontId="37" fillId="0" borderId="0" applyAlignment="1" pivotButton="0" quotePrefix="0" xfId="0">
      <alignment vertical="center"/>
    </xf>
    <xf numFmtId="164" fontId="2" fillId="0" borderId="0" pivotButton="0" quotePrefix="0" xfId="0"/>
    <xf numFmtId="164" fontId="2" fillId="0" borderId="0" pivotButton="0" quotePrefix="0" xfId="0"/>
    <xf numFmtId="9" fontId="2" fillId="0" borderId="0" pivotButton="0" quotePrefix="0" xfId="0"/>
    <xf numFmtId="0" fontId="34" fillId="0" borderId="0" pivotButton="0" quotePrefix="0" xfId="0"/>
    <xf numFmtId="0" fontId="33" fillId="0" borderId="2" applyAlignment="1" pivotButton="0" quotePrefix="0" xfId="0">
      <alignment horizontal="center" vertical="center" wrapText="1"/>
    </xf>
    <xf numFmtId="0" fontId="34" fillId="0" borderId="0" applyAlignment="1" pivotButton="0" quotePrefix="0" xfId="0">
      <alignment horizontal="center"/>
    </xf>
    <xf numFmtId="0" fontId="42" fillId="0" borderId="16" applyAlignment="1" pivotButton="0" quotePrefix="0" xfId="0">
      <alignment horizontal="center" vertical="top" wrapText="1"/>
    </xf>
    <xf numFmtId="0" fontId="43" fillId="4" borderId="8" applyAlignment="1" pivotButton="0" quotePrefix="0" xfId="0">
      <alignment horizontal="left"/>
    </xf>
    <xf numFmtId="0" fontId="13" fillId="15" borderId="1" applyAlignment="1" pivotButton="0" quotePrefix="0" xfId="0">
      <alignment horizontal="center" vertical="center" wrapText="1"/>
    </xf>
    <xf numFmtId="0" fontId="13" fillId="15" borderId="5" applyAlignment="1" pivotButton="0" quotePrefix="0" xfId="0">
      <alignment horizontal="center" vertical="center" wrapText="1"/>
    </xf>
    <xf numFmtId="0" fontId="13" fillId="15" borderId="37" applyAlignment="1" pivotButton="0" quotePrefix="0" xfId="0">
      <alignment horizontal="center" vertical="center" wrapText="1"/>
    </xf>
    <xf numFmtId="0" fontId="23"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21" fillId="0" borderId="1" applyAlignment="1" pivotButton="0" quotePrefix="0" xfId="0">
      <alignment horizontal="left" vertical="center" wrapText="1"/>
    </xf>
    <xf numFmtId="0" fontId="21" fillId="0" borderId="5" applyAlignment="1" pivotButton="0" quotePrefix="0" xfId="0">
      <alignment horizontal="left" vertical="center" wrapText="1"/>
    </xf>
    <xf numFmtId="0" fontId="21" fillId="0" borderId="1" applyAlignment="1" pivotButton="0" quotePrefix="0" xfId="0">
      <alignment horizontal="center" vertical="center" wrapText="1"/>
    </xf>
    <xf numFmtId="0" fontId="21" fillId="0" borderId="1" applyAlignment="1" pivotButton="0" quotePrefix="0" xfId="0">
      <alignment horizontal="left" vertical="center" wrapText="1"/>
    </xf>
    <xf numFmtId="0" fontId="23" fillId="0" borderId="1" applyAlignment="1" pivotButton="0" quotePrefix="0" xfId="0">
      <alignment horizontal="center" vertical="center" wrapText="1"/>
    </xf>
    <xf numFmtId="0" fontId="44" fillId="5" borderId="38" pivotButton="0" quotePrefix="0" xfId="0"/>
    <xf numFmtId="0" fontId="3" fillId="5" borderId="38" pivotButton="0" quotePrefix="0" xfId="0"/>
    <xf numFmtId="0" fontId="3" fillId="5" borderId="11" pivotButton="0" quotePrefix="0" xfId="0"/>
    <xf numFmtId="0" fontId="13" fillId="15" borderId="1" applyAlignment="1" pivotButton="0" quotePrefix="0" xfId="0">
      <alignment horizontal="center" vertical="top" wrapText="1"/>
    </xf>
    <xf numFmtId="0" fontId="13" fillId="15" borderId="39" applyAlignment="1" pivotButton="0" quotePrefix="0" xfId="0">
      <alignment horizontal="center" vertical="center" wrapText="1"/>
    </xf>
    <xf numFmtId="0" fontId="23" fillId="0" borderId="1" applyAlignment="1" pivotButton="0" quotePrefix="0" xfId="0">
      <alignment horizontal="center" vertical="top" wrapText="1"/>
    </xf>
    <xf numFmtId="0" fontId="13" fillId="0" borderId="1" applyAlignment="1" pivotButton="0" quotePrefix="0" xfId="0">
      <alignment horizontal="center" vertical="center" wrapText="1"/>
    </xf>
    <xf numFmtId="0" fontId="21" fillId="0" borderId="7" applyAlignment="1" pivotButton="0" quotePrefix="0" xfId="0">
      <alignment horizontal="center" vertical="top" wrapText="1"/>
    </xf>
    <xf numFmtId="0" fontId="23" fillId="0" borderId="5" applyAlignment="1" pivotButton="0" quotePrefix="0" xfId="0">
      <alignment horizontal="left" vertical="top" wrapText="1"/>
    </xf>
    <xf numFmtId="0" fontId="21" fillId="0" borderId="1" applyAlignment="1" pivotButton="0" quotePrefix="0" xfId="0">
      <alignment horizontal="center" vertical="top" wrapText="1"/>
    </xf>
    <xf numFmtId="0" fontId="45" fillId="5" borderId="11" pivotButton="0" quotePrefix="0" xfId="0"/>
    <xf numFmtId="0" fontId="45" fillId="5" borderId="38" pivotButton="0" quotePrefix="0" xfId="0"/>
    <xf numFmtId="0" fontId="21" fillId="0" borderId="5" applyAlignment="1" pivotButton="0" quotePrefix="0" xfId="0">
      <alignment horizontal="left" vertical="top" wrapText="1"/>
    </xf>
    <xf numFmtId="0" fontId="3" fillId="0" borderId="0" applyAlignment="1" pivotButton="0" quotePrefix="0" xfId="0">
      <alignment horizontal="center" wrapText="1"/>
    </xf>
    <xf numFmtId="0" fontId="34" fillId="0" borderId="0" applyAlignment="1" pivotButton="0" quotePrefix="0" xfId="0">
      <alignment wrapText="1"/>
    </xf>
    <xf numFmtId="0" fontId="46" fillId="0" borderId="2" applyAlignment="1" pivotButton="0" quotePrefix="0" xfId="0">
      <alignment horizontal="right" wrapText="1"/>
    </xf>
    <xf numFmtId="0" fontId="34" fillId="0" borderId="0" applyAlignment="1" pivotButton="0" quotePrefix="0" xfId="0">
      <alignment horizontal="center" wrapText="1"/>
    </xf>
    <xf numFmtId="0" fontId="43" fillId="4" borderId="8" applyAlignment="1" pivotButton="0" quotePrefix="0" xfId="0">
      <alignment horizontal="left" wrapText="1"/>
    </xf>
    <xf numFmtId="0" fontId="13" fillId="0" borderId="0" applyAlignment="1" pivotButton="0" quotePrefix="0" xfId="0">
      <alignment horizontal="left" wrapText="1"/>
    </xf>
    <xf numFmtId="0" fontId="15" fillId="0" borderId="0" applyAlignment="1" pivotButton="0" quotePrefix="0" xfId="0">
      <alignment horizontal="center" wrapText="1"/>
    </xf>
    <xf numFmtId="0" fontId="13" fillId="16" borderId="30" applyAlignment="1" pivotButton="0" quotePrefix="0" xfId="0">
      <alignment horizontal="center" wrapText="1"/>
    </xf>
    <xf numFmtId="0" fontId="13" fillId="16" borderId="5" applyAlignment="1" pivotButton="0" quotePrefix="0" xfId="0">
      <alignment horizontal="center" wrapText="1"/>
    </xf>
    <xf numFmtId="0" fontId="13" fillId="16" borderId="40" applyAlignment="1" pivotButton="0" quotePrefix="0" xfId="0">
      <alignment horizontal="center" wrapText="1"/>
    </xf>
    <xf numFmtId="0" fontId="9" fillId="0" borderId="41" pivotButton="0" quotePrefix="0" xfId="0"/>
    <xf numFmtId="0" fontId="13" fillId="16" borderId="35" applyAlignment="1" pivotButton="0" quotePrefix="0" xfId="0">
      <alignment horizontal="center" vertical="center" wrapText="1"/>
    </xf>
    <xf numFmtId="0" fontId="9" fillId="0" borderId="42" pivotButton="0" quotePrefix="0" xfId="0"/>
    <xf numFmtId="0" fontId="23" fillId="5" borderId="1" applyAlignment="1" pivotButton="0" quotePrefix="0" xfId="0">
      <alignment horizontal="center" wrapText="1"/>
    </xf>
    <xf numFmtId="0" fontId="23" fillId="5" borderId="1" applyAlignment="1" pivotButton="0" quotePrefix="0" xfId="0">
      <alignment horizontal="left" vertical="top" wrapText="1"/>
    </xf>
    <xf numFmtId="0" fontId="15" fillId="5" borderId="5" applyAlignment="1" pivotButton="0" quotePrefix="0" xfId="0">
      <alignment wrapText="1"/>
    </xf>
    <xf numFmtId="0" fontId="23" fillId="5" borderId="5" applyAlignment="1" pivotButton="0" quotePrefix="0" xfId="0">
      <alignment horizontal="left" vertical="top" wrapText="1"/>
    </xf>
    <xf numFmtId="0" fontId="23" fillId="5" borderId="1" applyAlignment="1" pivotButton="0" quotePrefix="0" xfId="0">
      <alignment horizontal="center" vertical="top" wrapText="1"/>
    </xf>
    <xf numFmtId="0" fontId="23" fillId="5" borderId="5" applyAlignment="1" pivotButton="0" quotePrefix="0" xfId="0">
      <alignment horizontal="center" vertical="top" wrapText="1"/>
    </xf>
    <xf numFmtId="0" fontId="15" fillId="5" borderId="5" applyAlignment="1" pivotButton="0" quotePrefix="0" xfId="0">
      <alignment horizontal="center" vertical="top" wrapText="1"/>
    </xf>
    <xf numFmtId="0" fontId="47" fillId="0" borderId="0" pivotButton="0" quotePrefix="0" xfId="0"/>
    <xf numFmtId="0" fontId="23" fillId="5" borderId="1" applyAlignment="1" pivotButton="0" quotePrefix="0" xfId="0">
      <alignment wrapText="1"/>
    </xf>
    <xf numFmtId="0" fontId="47" fillId="0" borderId="0" applyAlignment="1" pivotButton="0" quotePrefix="0" xfId="0">
      <alignment horizontal="center"/>
    </xf>
    <xf numFmtId="0" fontId="13" fillId="5" borderId="0" applyAlignment="1" pivotButton="0" quotePrefix="0" xfId="0">
      <alignment horizontal="left" wrapText="1"/>
    </xf>
    <xf numFmtId="0" fontId="13" fillId="5" borderId="34" applyAlignment="1" pivotButton="0" quotePrefix="0" xfId="0">
      <alignment horizontal="center" vertical="center" wrapText="1"/>
    </xf>
    <xf numFmtId="0" fontId="13" fillId="5" borderId="5" applyAlignment="1" pivotButton="0" quotePrefix="0" xfId="0">
      <alignment horizontal="center" vertical="center" wrapText="1"/>
    </xf>
    <xf numFmtId="0" fontId="13" fillId="5" borderId="43" applyAlignment="1" pivotButton="0" quotePrefix="0" xfId="0">
      <alignment horizontal="center" vertical="center" wrapText="1"/>
    </xf>
    <xf numFmtId="0" fontId="9" fillId="0" borderId="44" pivotButton="0" quotePrefix="0" xfId="0"/>
    <xf numFmtId="0" fontId="13" fillId="5" borderId="45" applyAlignment="1" pivotButton="0" quotePrefix="0" xfId="0">
      <alignment horizontal="center" vertical="center" wrapText="1"/>
    </xf>
    <xf numFmtId="0" fontId="13" fillId="5" borderId="46" applyAlignment="1" pivotButton="0" quotePrefix="0" xfId="0">
      <alignment horizontal="center" vertical="center" wrapText="1"/>
    </xf>
    <xf numFmtId="0" fontId="9" fillId="0" borderId="47" pivotButton="0" quotePrefix="0" xfId="0"/>
    <xf numFmtId="0" fontId="23" fillId="5" borderId="5" applyAlignment="1" pivotButton="0" quotePrefix="0" xfId="0">
      <alignment horizontal="left" wrapText="1"/>
    </xf>
    <xf numFmtId="0" fontId="15" fillId="5" borderId="5" applyAlignment="1" pivotButton="0" quotePrefix="0" xfId="0">
      <alignment horizontal="left" wrapText="1"/>
    </xf>
    <xf numFmtId="0" fontId="23" fillId="5" borderId="1" applyAlignment="1" pivotButton="0" quotePrefix="0" xfId="0">
      <alignment horizontal="left" wrapText="1"/>
    </xf>
    <xf numFmtId="0" fontId="47" fillId="0" borderId="0" pivotButton="0" quotePrefix="0" xfId="0"/>
    <xf numFmtId="0" fontId="23" fillId="5" borderId="48" applyAlignment="1" pivotButton="0" quotePrefix="0" xfId="0">
      <alignment horizontal="left" vertical="top" wrapText="1"/>
    </xf>
    <xf numFmtId="0" fontId="9" fillId="0" borderId="49" pivotButton="0" quotePrefix="0" xfId="0"/>
    <xf numFmtId="0" fontId="23" fillId="5" borderId="3" applyAlignment="1" pivotButton="0" quotePrefix="0" xfId="0">
      <alignment horizontal="center" wrapText="1"/>
    </xf>
    <xf numFmtId="0" fontId="23" fillId="5" borderId="4" applyAlignment="1" pivotButton="0" quotePrefix="0" xfId="0">
      <alignment wrapText="1"/>
    </xf>
    <xf numFmtId="0" fontId="23" fillId="5" borderId="4" applyAlignment="1" pivotButton="0" quotePrefix="0" xfId="0">
      <alignment horizontal="left" wrapText="1"/>
    </xf>
    <xf numFmtId="0" fontId="23" fillId="5" borderId="50" applyAlignment="1" pivotButton="0" quotePrefix="0" xfId="0">
      <alignment horizontal="left" wrapText="1"/>
    </xf>
    <xf numFmtId="0" fontId="23" fillId="5" borderId="4" applyAlignment="1" pivotButton="0" quotePrefix="0" xfId="0">
      <alignment wrapText="1"/>
    </xf>
    <xf numFmtId="0" fontId="15" fillId="5" borderId="5" applyAlignment="1" pivotButton="0" quotePrefix="0" xfId="0">
      <alignment horizontal="left" wrapText="1"/>
    </xf>
    <xf numFmtId="0" fontId="15" fillId="5" borderId="5" applyAlignment="1" pivotButton="0" quotePrefix="0" xfId="0">
      <alignment wrapText="1"/>
    </xf>
    <xf numFmtId="0" fontId="23" fillId="5" borderId="3" applyAlignment="1" pivotButton="0" quotePrefix="0" xfId="0">
      <alignment horizontal="left" wrapText="1"/>
    </xf>
    <xf numFmtId="0" fontId="15" fillId="5" borderId="2" applyAlignment="1" pivotButton="0" quotePrefix="0" xfId="0">
      <alignment wrapText="1"/>
    </xf>
    <xf numFmtId="0" fontId="48" fillId="5" borderId="11" applyAlignment="1" pivotButton="0" quotePrefix="0" xfId="0">
      <alignment wrapText="1"/>
    </xf>
    <xf numFmtId="0" fontId="7" fillId="0" borderId="0" applyAlignment="1" pivotButton="0" quotePrefix="0" xfId="0">
      <alignment horizontal="center" wrapText="1"/>
    </xf>
    <xf numFmtId="0" fontId="23" fillId="0" borderId="0" applyAlignment="1" pivotButton="0" quotePrefix="0" xfId="0">
      <alignment horizontal="left" vertical="top" wrapText="1"/>
    </xf>
    <xf numFmtId="0" fontId="13" fillId="16" borderId="51" applyAlignment="1" pivotButton="0" quotePrefix="0" xfId="0">
      <alignment horizontal="center" vertical="center" wrapText="1"/>
    </xf>
    <xf numFmtId="0" fontId="9" fillId="0" borderId="52" pivotButton="0" quotePrefix="0" xfId="0"/>
    <xf numFmtId="0" fontId="9" fillId="0" borderId="53" pivotButton="0" quotePrefix="0" xfId="0"/>
    <xf numFmtId="0" fontId="13" fillId="16" borderId="54" applyAlignment="1" pivotButton="0" quotePrefix="0" xfId="0">
      <alignment horizontal="center" vertical="center" wrapText="1"/>
    </xf>
    <xf numFmtId="0" fontId="13" fillId="16" borderId="55" applyAlignment="1" pivotButton="0" quotePrefix="0" xfId="0">
      <alignment horizontal="center" vertical="center" wrapText="1"/>
    </xf>
    <xf numFmtId="0" fontId="13" fillId="17" borderId="56" applyAlignment="1" pivotButton="0" quotePrefix="0" xfId="0">
      <alignment horizontal="center" vertical="center" wrapText="1"/>
    </xf>
    <xf numFmtId="0" fontId="13" fillId="17" borderId="57" applyAlignment="1" pivotButton="0" quotePrefix="0" xfId="0">
      <alignment horizontal="center" vertical="center" wrapText="1"/>
    </xf>
    <xf numFmtId="0" fontId="13" fillId="17" borderId="54" applyAlignment="1" pivotButton="0" quotePrefix="0" xfId="0">
      <alignment horizontal="center" vertical="center" wrapText="1"/>
    </xf>
    <xf numFmtId="0" fontId="13" fillId="17" borderId="58" applyAlignment="1" pivotButton="0" quotePrefix="0" xfId="0">
      <alignment horizontal="center" vertical="center" wrapText="1"/>
    </xf>
    <xf numFmtId="0" fontId="13" fillId="0" borderId="59" applyAlignment="1" pivotButton="0" quotePrefix="0" xfId="0">
      <alignment horizontal="center" vertical="center" wrapText="1"/>
    </xf>
    <xf numFmtId="0" fontId="13" fillId="0" borderId="59" applyAlignment="1" pivotButton="0" quotePrefix="0" xfId="0">
      <alignment horizontal="center" vertical="center" wrapText="1"/>
    </xf>
    <xf numFmtId="0" fontId="23" fillId="0" borderId="0" applyAlignment="1" pivotButton="0" quotePrefix="0" xfId="0">
      <alignment wrapText="1"/>
    </xf>
    <xf numFmtId="0" fontId="23" fillId="0" borderId="51" applyAlignment="1" pivotButton="0" quotePrefix="0" xfId="0">
      <alignment vertical="center" wrapText="1"/>
    </xf>
    <xf numFmtId="0" fontId="49" fillId="0" borderId="59" applyAlignment="1" pivotButton="0" quotePrefix="0" xfId="0">
      <alignment vertical="center" wrapText="1"/>
    </xf>
    <xf numFmtId="0" fontId="23" fillId="0" borderId="59" applyAlignment="1" pivotButton="0" quotePrefix="0" xfId="0">
      <alignment horizontal="left" vertical="center" wrapText="1"/>
    </xf>
    <xf numFmtId="0" fontId="23" fillId="0" borderId="60" applyAlignment="1" pivotButton="0" quotePrefix="0" xfId="0">
      <alignment vertical="center" wrapText="1"/>
    </xf>
    <xf numFmtId="0" fontId="15" fillId="0" borderId="51" applyAlignment="1" pivotButton="0" quotePrefix="0" xfId="0">
      <alignment wrapText="1"/>
    </xf>
    <xf numFmtId="0" fontId="23" fillId="0" borderId="59" applyAlignment="1" pivotButton="0" quotePrefix="0" xfId="0">
      <alignment vertical="center" wrapText="1"/>
    </xf>
    <xf numFmtId="0" fontId="23" fillId="0" borderId="59" applyAlignment="1" pivotButton="0" quotePrefix="0" xfId="0">
      <alignment horizontal="center" vertical="center" wrapText="1"/>
    </xf>
    <xf numFmtId="0" fontId="23" fillId="0" borderId="59" applyAlignment="1" pivotButton="0" quotePrefix="0" xfId="0">
      <alignment horizontal="center" vertical="center" wrapText="1"/>
    </xf>
    <xf numFmtId="0" fontId="49" fillId="0" borderId="59" applyAlignment="1" pivotButton="0" quotePrefix="0" xfId="0">
      <alignment horizontal="center" vertical="center" wrapText="1"/>
    </xf>
    <xf numFmtId="0" fontId="23" fillId="0" borderId="59" applyAlignment="1" pivotButton="0" quotePrefix="0" xfId="0">
      <alignment vertical="center" wrapText="1"/>
    </xf>
    <xf numFmtId="0" fontId="23" fillId="0" borderId="60" applyAlignment="1" pivotButton="0" quotePrefix="0" xfId="0">
      <alignment vertical="center" wrapText="1"/>
    </xf>
    <xf numFmtId="0" fontId="15" fillId="0" borderId="51" applyAlignment="1" pivotButton="0" quotePrefix="0" xfId="0">
      <alignment wrapText="1"/>
    </xf>
    <xf numFmtId="0" fontId="23" fillId="0" borderId="51" applyAlignment="1" pivotButton="0" quotePrefix="0" xfId="0">
      <alignment vertical="center" wrapText="1"/>
    </xf>
    <xf numFmtId="0" fontId="14" fillId="17" borderId="61" applyAlignment="1" pivotButton="0" quotePrefix="0" xfId="0">
      <alignment horizontal="left" vertical="center" wrapText="1"/>
    </xf>
    <xf numFmtId="0" fontId="9" fillId="0" borderId="62" pivotButton="0" quotePrefix="0" xfId="0"/>
    <xf numFmtId="0" fontId="9" fillId="0" borderId="63" pivotButton="0" quotePrefix="0" xfId="0"/>
    <xf numFmtId="0" fontId="3" fillId="0" borderId="0" applyAlignment="1" pivotButton="0" quotePrefix="0" xfId="0">
      <alignment wrapText="1"/>
    </xf>
    <xf numFmtId="0" fontId="2" fillId="0" borderId="0" applyAlignment="1" pivotButton="0" quotePrefix="0" xfId="0">
      <alignment wrapText="1"/>
    </xf>
    <xf numFmtId="0" fontId="44" fillId="5" borderId="11" applyAlignment="1" pivotButton="0" quotePrefix="0" xfId="0">
      <alignment wrapText="1"/>
    </xf>
    <xf numFmtId="0" fontId="3" fillId="5" borderId="11" applyAlignment="1" pivotButton="0" quotePrefix="0" xfId="0">
      <alignment wrapText="1"/>
    </xf>
    <xf numFmtId="0" fontId="35" fillId="4" borderId="34" applyAlignment="1" pivotButton="0" quotePrefix="0" xfId="0">
      <alignment horizontal="center" vertical="center" wrapText="1"/>
    </xf>
    <xf numFmtId="0" fontId="35" fillId="4" borderId="46" applyAlignment="1" pivotButton="0" quotePrefix="0" xfId="0">
      <alignment horizontal="center" vertical="center" wrapText="1"/>
    </xf>
    <xf numFmtId="0" fontId="9" fillId="0" borderId="64" pivotButton="0" quotePrefix="0" xfId="0"/>
    <xf numFmtId="0" fontId="35" fillId="4" borderId="34" applyAlignment="1" pivotButton="0" quotePrefix="0" xfId="0">
      <alignment horizontal="center" wrapText="1"/>
    </xf>
    <xf numFmtId="0" fontId="35" fillId="4" borderId="1" applyAlignment="1" pivotButton="0" quotePrefix="0" xfId="0">
      <alignment horizontal="center" vertical="center" wrapText="1"/>
    </xf>
    <xf numFmtId="0" fontId="23" fillId="5" borderId="65" applyAlignment="1" pivotButton="0" quotePrefix="0" xfId="0">
      <alignment wrapText="1"/>
    </xf>
    <xf numFmtId="0" fontId="15" fillId="0" borderId="5" applyAlignment="1" pivotButton="0" quotePrefix="0" xfId="0">
      <alignment wrapText="1"/>
    </xf>
    <xf numFmtId="0" fontId="23" fillId="5" borderId="66" applyAlignment="1" pivotButton="0" quotePrefix="0" xfId="0">
      <alignment wrapText="1"/>
    </xf>
    <xf numFmtId="0" fontId="21" fillId="0" borderId="1" applyAlignment="1" pivotButton="0" quotePrefix="0" xfId="0">
      <alignment horizontal="left" vertical="top" wrapText="1"/>
    </xf>
    <xf numFmtId="0" fontId="23" fillId="5" borderId="67" applyAlignment="1" pivotButton="0" quotePrefix="0" xfId="0">
      <alignment horizontal="center" wrapText="1"/>
    </xf>
    <xf numFmtId="0" fontId="23" fillId="5" borderId="68" applyAlignment="1" pivotButton="0" quotePrefix="0" xfId="0">
      <alignment wrapText="1"/>
    </xf>
    <xf numFmtId="167" fontId="23" fillId="0" borderId="1" applyAlignment="1" pivotButton="0" quotePrefix="0" xfId="0">
      <alignment horizontal="center" vertical="top" wrapText="1"/>
    </xf>
    <xf numFmtId="0" fontId="21" fillId="0" borderId="69" applyAlignment="1" pivotButton="0" quotePrefix="0" xfId="0">
      <alignment horizontal="left" vertical="top" wrapText="1"/>
    </xf>
    <xf numFmtId="0" fontId="15" fillId="0" borderId="1" applyAlignment="1" pivotButton="0" quotePrefix="0" xfId="0">
      <alignment vertical="bottom"/>
    </xf>
    <xf numFmtId="0" fontId="36" fillId="0" borderId="0" pivotButton="0" quotePrefix="0" xfId="0"/>
    <xf numFmtId="0" fontId="7" fillId="5" borderId="36" applyAlignment="1" pivotButton="0" quotePrefix="0" xfId="0">
      <alignment vertical="bottom"/>
    </xf>
    <xf numFmtId="2" fontId="36" fillId="0" borderId="0" pivotButton="0" quotePrefix="0" xfId="0"/>
    <xf numFmtId="0" fontId="15" fillId="0" borderId="1" applyAlignment="1" pivotButton="0" quotePrefix="0" xfId="0">
      <alignment vertical="bottom"/>
    </xf>
    <xf numFmtId="0" fontId="43" fillId="4" borderId="11" pivotButton="0" quotePrefix="0" xfId="0"/>
    <xf numFmtId="0" fontId="50" fillId="0" borderId="0" applyAlignment="1" pivotButton="0" quotePrefix="0" xfId="0">
      <alignment horizontal="center"/>
    </xf>
    <xf numFmtId="0" fontId="3" fillId="0" borderId="0" applyAlignment="1" pivotButton="0" quotePrefix="0" xfId="0">
      <alignment horizontal="center" vertical="center"/>
    </xf>
    <xf numFmtId="0" fontId="3" fillId="0" borderId="0" applyAlignment="1" pivotButton="0" quotePrefix="0" xfId="0">
      <alignment vertical="center"/>
    </xf>
    <xf numFmtId="49" fontId="13" fillId="16" borderId="1" applyAlignment="1" pivotButton="0" quotePrefix="0" xfId="0">
      <alignment horizontal="center" vertical="center"/>
    </xf>
    <xf numFmtId="0" fontId="13" fillId="16" borderId="1" applyAlignment="1" pivotButton="0" quotePrefix="0" xfId="0">
      <alignment horizontal="center" vertical="center" wrapText="1"/>
    </xf>
    <xf numFmtId="0" fontId="13" fillId="16" borderId="1" applyAlignment="1" pivotButton="0" quotePrefix="0" xfId="0">
      <alignment horizontal="center" vertical="center"/>
    </xf>
    <xf numFmtId="0" fontId="13" fillId="16" borderId="5" applyAlignment="1" pivotButton="0" quotePrefix="0" xfId="0">
      <alignment horizontal="center" vertical="center"/>
    </xf>
    <xf numFmtId="49" fontId="15" fillId="0" borderId="1" applyAlignment="1" pivotButton="0" quotePrefix="0" xfId="0">
      <alignment horizontal="center" vertical="center"/>
    </xf>
    <xf numFmtId="49" fontId="15" fillId="0" borderId="1" applyAlignment="1" pivotButton="0" quotePrefix="0" xfId="0">
      <alignment vertical="center" wrapText="1"/>
    </xf>
    <xf numFmtId="0" fontId="15" fillId="0" borderId="1" applyAlignment="1" pivotButton="0" quotePrefix="0" xfId="0">
      <alignment horizontal="center" vertical="center"/>
    </xf>
    <xf numFmtId="0" fontId="15" fillId="0" borderId="35" applyAlignment="1" pivotButton="0" quotePrefix="0" xfId="0">
      <alignment vertical="center"/>
    </xf>
    <xf numFmtId="0" fontId="9" fillId="0" borderId="69" pivotButton="0" quotePrefix="0" xfId="0"/>
    <xf numFmtId="0" fontId="9" fillId="0" borderId="12" pivotButton="0" quotePrefix="0" xfId="0"/>
    <xf numFmtId="0" fontId="9" fillId="0" borderId="50" pivotButton="0" quotePrefix="0" xfId="0"/>
    <xf numFmtId="0" fontId="15" fillId="5" borderId="11" pivotButton="0" quotePrefix="0" xfId="0"/>
    <xf numFmtId="49" fontId="15" fillId="0" borderId="1" applyAlignment="1" pivotButton="0" quotePrefix="0" xfId="0">
      <alignment horizontal="center" vertical="center"/>
    </xf>
    <xf numFmtId="0" fontId="17" fillId="18" borderId="5" applyAlignment="1" pivotButton="0" quotePrefix="0" xfId="0">
      <alignment horizontal="center" vertical="center"/>
    </xf>
    <xf numFmtId="0" fontId="42" fillId="5" borderId="11"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vertical="center"/>
    </xf>
    <xf numFmtId="0" fontId="21" fillId="0" borderId="5" applyAlignment="1" pivotButton="0" quotePrefix="0" xfId="0">
      <alignment horizontal="left" vertical="center" wrapText="1"/>
    </xf>
    <xf numFmtId="0" fontId="0" fillId="0" borderId="0" pivotButton="0" quotePrefix="0" xfId="0"/>
    <xf numFmtId="0" fontId="0" fillId="0" borderId="2" pivotButton="0" quotePrefix="0" xfId="0"/>
    <xf numFmtId="0" fontId="13" fillId="3" borderId="1" applyAlignment="1" pivotButton="0" quotePrefix="0" xfId="0">
      <alignment horizontal="left" vertical="center" wrapText="1"/>
    </xf>
    <xf numFmtId="0" fontId="0" fillId="0" borderId="6" pivotButton="0" quotePrefix="0" xfId="0"/>
    <xf numFmtId="0" fontId="0" fillId="0" borderId="7" pivotButton="0" quotePrefix="0" xfId="0"/>
    <xf numFmtId="0" fontId="17" fillId="0" borderId="1" applyAlignment="1" pivotButton="0" quotePrefix="0" xfId="0">
      <alignment horizontal="left" vertical="top"/>
    </xf>
    <xf numFmtId="0" fontId="15" fillId="0" borderId="1" applyAlignment="1" pivotButton="0" quotePrefix="0" xfId="0">
      <alignment horizontal="left" vertical="center"/>
    </xf>
    <xf numFmtId="0" fontId="15" fillId="0" borderId="4" applyAlignment="1" pivotButton="0" quotePrefix="0" xfId="0">
      <alignment horizontal="left" vertical="center"/>
    </xf>
    <xf numFmtId="0" fontId="0" fillId="0" borderId="4" pivotButton="0" quotePrefix="0" xfId="0"/>
    <xf numFmtId="0" fontId="7" fillId="0" borderId="1" applyAlignment="1" pivotButton="0" quotePrefix="0" xfId="0">
      <alignment horizontal="left" vertical="center"/>
    </xf>
    <xf numFmtId="0" fontId="7" fillId="0" borderId="4" applyAlignment="1" pivotButton="0" quotePrefix="0" xfId="0">
      <alignment horizontal="left" vertical="center"/>
    </xf>
    <xf numFmtId="0" fontId="18" fillId="4" borderId="11" applyAlignment="1" pivotButton="0" quotePrefix="0" xfId="0">
      <alignment horizontal="left" vertical="center"/>
    </xf>
    <xf numFmtId="0" fontId="18" fillId="4" borderId="11" applyAlignment="1" pivotButton="0" quotePrefix="0" xfId="0">
      <alignment horizontal="left" vertical="top" wrapText="1"/>
    </xf>
    <xf numFmtId="0" fontId="33" fillId="5" borderId="17" applyAlignment="1" pivotButton="0" quotePrefix="0" xfId="0">
      <alignment horizontal="center" vertical="center"/>
    </xf>
    <xf numFmtId="0" fontId="35" fillId="4" borderId="7" applyAlignment="1" pivotButton="0" quotePrefix="0" xfId="0">
      <alignment horizontal="center" vertical="center"/>
    </xf>
    <xf numFmtId="0" fontId="26" fillId="11" borderId="7" applyAlignment="1" pivotButton="0" quotePrefix="0" xfId="0">
      <alignment horizontal="center" vertical="center"/>
    </xf>
    <xf numFmtId="0" fontId="33" fillId="12" borderId="70" applyAlignment="1" pivotButton="0" quotePrefix="0" xfId="0">
      <alignment horizontal="center" vertical="center" wrapText="1"/>
    </xf>
    <xf numFmtId="0" fontId="0" fillId="0" borderId="18" pivotButton="0" quotePrefix="0" xfId="0"/>
    <xf numFmtId="0" fontId="10" fillId="12" borderId="7" applyAlignment="1" pivotButton="0" quotePrefix="0" xfId="0">
      <alignment horizontal="right" vertical="center" wrapText="1"/>
    </xf>
    <xf numFmtId="0" fontId="43" fillId="4" borderId="11" applyAlignment="1" pivotButton="0" quotePrefix="0" xfId="0">
      <alignment horizontal="left"/>
    </xf>
    <xf numFmtId="0" fontId="17" fillId="3" borderId="34" applyAlignment="1" pivotButton="0" quotePrefix="0" xfId="0">
      <alignment horizontal="center" vertical="center"/>
    </xf>
    <xf numFmtId="0" fontId="17" fillId="3" borderId="37" applyAlignment="1" pivotButton="0" quotePrefix="0" xfId="0">
      <alignment horizontal="center" vertical="center"/>
    </xf>
    <xf numFmtId="0" fontId="17" fillId="3" borderId="1" applyAlignment="1" pivotButton="0" quotePrefix="0" xfId="0">
      <alignment horizontal="center" vertical="center"/>
    </xf>
    <xf numFmtId="0" fontId="0" fillId="0" borderId="69" pivotButton="0" quotePrefix="0" xfId="0"/>
    <xf numFmtId="0" fontId="0" fillId="0" borderId="3" pivotButton="0" quotePrefix="0" xfId="0"/>
    <xf numFmtId="0" fontId="23" fillId="0" borderId="1" applyAlignment="1" pivotButton="0" quotePrefix="0" xfId="0">
      <alignment horizontal="left" vertical="top" wrapText="1"/>
    </xf>
    <xf numFmtId="0" fontId="43" fillId="4" borderId="11" applyAlignment="1" pivotButton="0" quotePrefix="0" xfId="0">
      <alignment horizontal="left" wrapText="1"/>
    </xf>
    <xf numFmtId="0" fontId="13" fillId="16" borderId="1" applyAlignment="1" pivotButton="0" quotePrefix="0" xfId="0">
      <alignment horizontal="center" wrapText="1"/>
    </xf>
    <xf numFmtId="0" fontId="13" fillId="16" borderId="78" applyAlignment="1" pivotButton="0" quotePrefix="0" xfId="0">
      <alignment horizontal="center" wrapText="1"/>
    </xf>
    <xf numFmtId="0" fontId="0" fillId="0" borderId="16" pivotButton="0" quotePrefix="0" xfId="0"/>
    <xf numFmtId="0" fontId="13" fillId="16" borderId="32" applyAlignment="1" pivotButton="0" quotePrefix="0" xfId="0">
      <alignment horizontal="center" vertical="center" wrapText="1"/>
    </xf>
    <xf numFmtId="0" fontId="0" fillId="0" borderId="42" pivotButton="0" quotePrefix="0" xfId="0"/>
    <xf numFmtId="0" fontId="15" fillId="5" borderId="1" applyAlignment="1" pivotButton="0" quotePrefix="0" xfId="0">
      <alignment wrapText="1"/>
    </xf>
    <xf numFmtId="0" fontId="15" fillId="5" borderId="1" applyAlignment="1" pivotButton="0" quotePrefix="0" xfId="0">
      <alignment horizontal="center" vertical="top" wrapText="1"/>
    </xf>
    <xf numFmtId="0" fontId="13" fillId="5" borderId="1" applyAlignment="1" pivotButton="0" quotePrefix="0" xfId="0">
      <alignment horizontal="center" vertical="center" wrapText="1"/>
    </xf>
    <xf numFmtId="0" fontId="13" fillId="5" borderId="79" applyAlignment="1" pivotButton="0" quotePrefix="0" xfId="0">
      <alignment horizontal="center" vertical="center" wrapText="1"/>
    </xf>
    <xf numFmtId="0" fontId="15" fillId="5" borderId="1" applyAlignment="1" pivotButton="0" quotePrefix="0" xfId="0">
      <alignment horizontal="left" wrapText="1"/>
    </xf>
    <xf numFmtId="0" fontId="23" fillId="5" borderId="67" applyAlignment="1" pivotButton="0" quotePrefix="0" xfId="0">
      <alignment horizontal="left" vertical="top" wrapText="1"/>
    </xf>
    <xf numFmtId="0" fontId="15" fillId="5" borderId="4" applyAlignment="1" pivotButton="0" quotePrefix="0" xfId="0">
      <alignment wrapText="1"/>
    </xf>
    <xf numFmtId="0" fontId="13" fillId="16" borderId="74" applyAlignment="1" pivotButton="0" quotePrefix="0" xfId="0">
      <alignment horizontal="center" vertical="center" wrapText="1"/>
    </xf>
    <xf numFmtId="0" fontId="0" fillId="0" borderId="52" pivotButton="0" quotePrefix="0" xfId="0"/>
    <xf numFmtId="0" fontId="0" fillId="0" borderId="53" pivotButton="0" quotePrefix="0" xfId="0"/>
    <xf numFmtId="0" fontId="13" fillId="16" borderId="73" applyAlignment="1" pivotButton="0" quotePrefix="0" xfId="0">
      <alignment horizontal="center" vertical="center" wrapText="1"/>
    </xf>
    <xf numFmtId="0" fontId="23" fillId="0" borderId="74" applyAlignment="1" pivotButton="0" quotePrefix="0" xfId="0">
      <alignment vertical="center" wrapText="1"/>
    </xf>
    <xf numFmtId="0" fontId="15" fillId="0" borderId="74" applyAlignment="1" pivotButton="0" quotePrefix="0" xfId="0">
      <alignment wrapText="1"/>
    </xf>
    <xf numFmtId="0" fontId="14" fillId="17" borderId="77" applyAlignment="1" pivotButton="0" quotePrefix="0" xfId="0">
      <alignment horizontal="left" vertical="center" wrapText="1"/>
    </xf>
    <xf numFmtId="0" fontId="0" fillId="0" borderId="75" pivotButton="0" quotePrefix="0" xfId="0"/>
    <xf numFmtId="0" fontId="23" fillId="5" borderId="39" applyAlignment="1" pivotButton="0" quotePrefix="0" xfId="0">
      <alignment wrapText="1"/>
    </xf>
    <xf numFmtId="0" fontId="15" fillId="0" borderId="1" applyAlignment="1" pivotButton="0" quotePrefix="0" xfId="0">
      <alignment wrapText="1"/>
    </xf>
    <xf numFmtId="0" fontId="0" fillId="0" borderId="12" pivotButton="0" quotePrefix="0" xfId="0"/>
    <xf numFmtId="0" fontId="0" fillId="0" borderId="50" pivotButton="0" quotePrefix="0" xfId="0"/>
    <xf numFmtId="0" fontId="17" fillId="18" borderId="1" applyAlignment="1" pivotButton="0" quotePrefix="0" xfId="0">
      <alignment horizontal="center" vertical="center"/>
    </xf>
    <xf numFmtId="168" fontId="17" fillId="0" borderId="0" pivotButton="0" quotePrefix="0" xfId="0"/>
    <xf numFmtId="168" fontId="17" fillId="0" borderId="0" pivotButton="0" quotePrefix="0" xfId="0"/>
    <xf numFmtId="168" fontId="0" fillId="0" borderId="0" pivotButton="0" quotePrefix="0" xfId="0"/>
    <xf numFmtId="0" fontId="51" fillId="19" borderId="80" applyAlignment="1" pivotButton="0" quotePrefix="0" xfId="0">
      <alignment horizontal="center" vertical="center"/>
    </xf>
    <xf numFmtId="0" fontId="51" fillId="19" borderId="80" applyAlignment="1" pivotButton="0" quotePrefix="0" xfId="0">
      <alignment horizontal="left" vertical="center" wrapText="1"/>
    </xf>
    <xf numFmtId="168" fontId="51" fillId="19" borderId="80" applyAlignment="1" pivotButton="0" quotePrefix="0" xfId="0">
      <alignment horizontal="center" vertical="center"/>
    </xf>
    <xf numFmtId="0" fontId="52" fillId="20" borderId="80" applyAlignment="1" pivotButton="0" quotePrefix="0" xfId="0">
      <alignment horizontal="center" vertical="center"/>
    </xf>
    <xf numFmtId="0" fontId="52" fillId="20" borderId="80" applyAlignment="1" pivotButton="0" quotePrefix="0" xfId="0">
      <alignment horizontal="left" vertical="center" wrapText="1" indent="1"/>
    </xf>
    <xf numFmtId="168" fontId="52" fillId="20" borderId="80" applyAlignment="1" pivotButton="0" quotePrefix="0" xfId="0">
      <alignment horizontal="center" vertical="center"/>
    </xf>
    <xf numFmtId="0" fontId="53" fillId="21" borderId="80" applyAlignment="1" pivotButton="0" quotePrefix="0" xfId="0">
      <alignment horizontal="center" vertical="center"/>
    </xf>
    <xf numFmtId="0" fontId="53" fillId="21" borderId="80" applyAlignment="1" pivotButton="0" quotePrefix="0" xfId="0">
      <alignment horizontal="left" vertical="center" wrapText="1" indent="2"/>
    </xf>
    <xf numFmtId="168" fontId="53" fillId="21" borderId="80" applyAlignment="1" pivotButton="0" quotePrefix="0" xfId="0">
      <alignment horizontal="center" vertical="center"/>
    </xf>
    <xf numFmtId="0" fontId="53" fillId="0" borderId="80" applyAlignment="1" pivotButton="0" quotePrefix="0" xfId="0">
      <alignment horizontal="center" vertical="center"/>
    </xf>
    <xf numFmtId="0" fontId="53" fillId="0" borderId="80" applyAlignment="1" pivotButton="0" quotePrefix="0" xfId="0">
      <alignment horizontal="left" vertical="center" wrapText="1" indent="2"/>
    </xf>
    <xf numFmtId="0" fontId="0" fillId="0" borderId="83" pivotButton="0" quotePrefix="0" xfId="0"/>
    <xf numFmtId="0" fontId="0" fillId="0" borderId="84" pivotButton="0" quotePrefix="0" xfId="0"/>
    <xf numFmtId="168" fontId="53" fillId="0" borderId="80" applyAlignment="1" pivotButton="0" quotePrefix="0" xfId="0">
      <alignment horizontal="center" vertical="center"/>
    </xf>
    <xf numFmtId="9" fontId="15" fillId="0" borderId="1" applyAlignment="1" pivotButton="0" quotePrefix="0" xfId="0">
      <alignment horizontal="center" vertical="center"/>
    </xf>
    <xf numFmtId="2" fontId="15" fillId="5" borderId="1" applyAlignment="1" pivotButton="0" quotePrefix="0" xfId="0">
      <alignment horizontal="center" vertical="center"/>
    </xf>
    <xf numFmtId="2" fontId="37" fillId="5" borderId="1" applyAlignment="1" pivotButton="0" quotePrefix="0" xfId="0">
      <alignment horizontal="center" vertical="center"/>
    </xf>
    <xf numFmtId="9" fontId="15" fillId="5" borderId="1" applyAlignment="1" pivotButton="0" quotePrefix="0" xfId="0">
      <alignment horizontal="center" vertical="center"/>
    </xf>
    <xf numFmtId="2" fontId="37" fillId="0" borderId="1" applyAlignment="1" pivotButton="0" quotePrefix="0" xfId="0">
      <alignment horizontal="center" vertical="center"/>
    </xf>
    <xf numFmtId="2" fontId="15" fillId="0" borderId="1" applyAlignment="1" pivotButton="0" quotePrefix="0" xfId="0">
      <alignment horizontal="center" vertical="center"/>
    </xf>
  </cellXfs>
  <cellStyles count="1">
    <cellStyle name="Normal" xfId="0" builtinId="0"/>
  </cellStyles>
  <dxfs count="12">
    <dxf>
      <font/>
      <fill>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B7E1CD"/>
          <bgColor rgb="FFB7E1CD"/>
        </patternFill>
      </fill>
      <border/>
    </dxf>
    <dxf>
      <font>
        <color rgb="FFFFFFFF"/>
      </font>
      <fill>
        <patternFill patternType="solid">
          <fgColor rgb="FFCC0000"/>
          <bgColor rgb="FFCC0000"/>
        </patternFill>
      </fill>
      <border/>
    </dxf>
    <dxf>
      <font>
        <color rgb="FF274E13"/>
      </font>
      <fill>
        <patternFill patternType="solid">
          <fgColor rgb="FFB7E1CD"/>
          <bgColor rgb="FFB7E1CD"/>
        </patternFill>
      </fill>
      <border/>
    </dxf>
    <dxf>
      <font>
        <color rgb="FF783F04"/>
      </font>
      <fill>
        <patternFill patternType="solid">
          <fgColor rgb="FFFFE599"/>
          <bgColor rgb="FFFFE599"/>
        </patternFill>
      </fill>
      <border/>
    </dxf>
    <dxf>
      <font/>
      <fill>
        <patternFill patternType="solid">
          <fgColor rgb="FFFF0000"/>
          <bgColor rgb="FFFF0000"/>
        </patternFill>
      </fill>
      <border/>
    </dxf>
    <dxf>
      <font>
        <b val="1"/>
      </font>
      <fill>
        <patternFill patternType="solid">
          <fgColor rgb="FFFFFF00"/>
          <bgColor rgb="FFFFFF00"/>
        </patternFill>
      </fill>
      <border/>
    </dxf>
    <dxf>
      <font>
        <b val="1"/>
      </font>
      <fill>
        <patternFill patternType="solid">
          <fgColor rgb="FF00B050"/>
          <bgColor rgb="FF00B050"/>
        </patternFill>
      </fill>
      <border/>
    </dxf>
  </dxfs>
  <tableStyles count="6" defaultTableStyle="TableStyleMedium9" defaultPivotStyle="PivotStyleLight16">
    <tableStyle name="1.Overview-style" pivot="0" count="2">
      <tableStyleElement type="firstRowStripe" dxfId="1"/>
      <tableStyleElement type="secondRowStripe" dxfId="2"/>
    </tableStyle>
    <tableStyle name="2.Master Schedule-style" pivot="0" count="3">
      <tableStyleElement type="headerRow" dxfId="3"/>
      <tableStyleElement type="firstRowStripe" dxfId="1"/>
      <tableStyleElement type="secondRowStripe" dxfId="4"/>
    </tableStyle>
    <tableStyle name="2.Master Schedule-style 2" pivot="0" count="2">
      <tableStyleElement type="firstRowStripe" dxfId="1"/>
      <tableStyleElement type="secondRowStripe" dxfId="4"/>
    </tableStyle>
    <tableStyle name="2.Master Schedule-style 3" pivot="0" count="2">
      <tableStyleElement type="firstRowStripe" dxfId="4"/>
      <tableStyleElement type="secondRowStripe" dxfId="1"/>
    </tableStyle>
    <tableStyle name="2.Master Schedule-style 4" pivot="0" count="2">
      <tableStyleElement type="firstRowStripe" dxfId="4"/>
      <tableStyleElement type="secondRowStripe" dxfId="1"/>
    </tableStyle>
    <tableStyle name="2.Master Schedule-style 5" pivot="0" count="2">
      <tableStyleElement type="firstRowStripe" dxfId="4"/>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tc={7d46a82e-7458-4c76-bb5b-b173e89dcf7e}</author>
    <author>tc={dcfd56ff-84ea-411c-9bd2-78ca9e458919}</author>
    <author>tc={f55dfed5-28dd-41db-a752-75d83c66fcc7}</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team chị Nhi đã chuyển sang đơn vị khác , nên mình sẽ không tính effort của chị ấy ạ
</t>
      </text>
    </comment>
    <comment ref="A4" authorId="1" shapeId="0">
      <text>
        <t xml:space="preserve">[Threaded comment]
 Your version of Excel allows you to read this threaded comment; however, any edits to it will get removed if the file is opened in a newer version of Excel. Learn more: https://go.microsoft.com/fwlink/?linkid=870924
Comment:
	Thêm MVP vào tên tiếng Việt luôn nhé anh @tam.bui@blueocean.net.vn
Reply:
	Done
Reply:
	Dạ e xin phép đề xuất
Tên dự án: GADEMY - TRƯỜNG HỌC ẢO GIAI ĐOẠN MVP
Project Name: GADEMY - VIRTUAL SCHOOL MVP PHASE
Reply:
	Done nhe
</t>
      </text>
    </comment>
    <comment ref="F7" authorId="2" shapeId="0">
      <text>
        <t xml:space="preserve">[Threaded comment]
 Your version of Excel allows you to read this threaded comment; however, any edits to it will get removed if the file is opened in a newer version of Excel. Learn more: https://go.microsoft.com/fwlink/?linkid=870924
Comment:
	Tên và mã dự án nên đặt khác để phân biệt với Gademy phase trước ạ
Reply:
	Done
</t>
      </text>
    </comment>
  </commentList>
</comments>
</file>

<file path=xl/comments/comment2.xml><?xml version="1.0" encoding="utf-8"?>
<comments xmlns="http://schemas.openxmlformats.org/spreadsheetml/2006/main">
  <authors>
    <author>tc={4b356fab-5474-4c2b-ab1e-a598e8933c55}</author>
    <author>tc={0cb6b79e-4ce2-4077-b0bd-4662974ad343}</author>
    <author>tc={eed899c0-d9a0-4570-986c-bb42475204d5}</author>
    <author>tc={d8c58b3e-846f-4058-9b9e-1e5b015241cd}</author>
  </authors>
  <commentList>
    <comment ref="F2" authorId="0" shapeId="0">
      <text>
        <t xml:space="preserve">[Threaded comment]
 Your version of Excel allows you to read this threaded comment; however, any edits to it will get removed if the file is opened in a newer version of Excel. Learn more: https://go.microsoft.com/fwlink/?linkid=870924
Comment:
	v1.0
Reply:
	Done
</t>
      </text>
    </comment>
    <comment ref="D7" authorId="1" shapeId="0">
      <text>
        <t xml:space="preserve">[Threaded comment]
 Your version of Excel allows you to read this threaded comment; however, any edits to it will get removed if the file is opened in a newer version of Excel. Learn more: https://go.microsoft.com/fwlink/?linkid=870924
Comment:
	1.0
Reply:
	Updated
</t>
      </text>
    </comment>
    <comment ref="D8" authorId="2" shapeId="0">
      <text>
        <t xml:space="preserve">[Threaded comment]
 Your version of Excel allows you to read this threaded comment; however, any edits to it will get removed if the file is opened in a newer version of Excel. Learn more: https://go.microsoft.com/fwlink/?linkid=870924
Comment:
	2.0
Reply:
	Updated
</t>
      </text>
    </comment>
    <comment ref="F8" authorId="3" shapeId="0">
      <text>
        <t xml:space="preserve">[Threaded comment]
 Your version of Excel allows you to read this threaded comment; however, any edits to it will get removed if the file is opened in a newer version of Excel. Learn more: https://go.microsoft.com/fwlink/?linkid=870924
Comment:
	" Thay đổi về nhân sự và tính năng"
Reply:
	done
</t>
      </text>
    </comment>
  </commentList>
</comments>
</file>

<file path=xl/comments/comment3.xml><?xml version="1.0" encoding="utf-8"?>
<comments xmlns="http://schemas.openxmlformats.org/spreadsheetml/2006/main">
  <authors>
    <author>tc={038010ec-8354-43f5-873e-8b0608953286}</author>
    <author>tc={506e0a80-75ba-4f63-b692-9abb62d072db}</author>
    <author>tc={5a73dff2-10f0-46f5-9f69-de43957f2ebe}</author>
    <author>tc={14fa59ac-3af5-4d32-aea3-1f27a21638e0}</author>
    <author>tc={6a7d3eb7-3347-4434-bd89-9bb19edf5aa1}</author>
    <author>tc={d338e533-d3c0-4468-b897-a726b6634276}</author>
  </authors>
  <commentList>
    <comment ref="B2" authorId="0" shapeId="0">
      <text>
        <t xml:space="preserve">[Threaded comment]
 Your version of Excel allows you to read this threaded comment; however, any edits to it will get removed if the file is opened in a newer version of Excel. Learn more: https://go.microsoft.com/fwlink/?linkid=870924
Comment:
	Chỉnh mã dự án chỗ này nhé anh
Reply:
	Done
Reply:
	v1.0
Reply:
	Done
</t>
      </text>
    </comment>
    <comment ref="A4" authorId="1" shapeId="0">
      <text>
        <t xml:space="preserve">[Threaded comment]
 Your version of Excel allows you to read this threaded comment; however, any edits to it will get removed if the file is opened in a newer version of Excel. Learn more: https://go.microsoft.com/fwlink/?linkid=870924
Comment:
	Bổ sung các từ bên dưới và giải thích:
- NPC
- GDM
Reply:
	done
</t>
      </text>
    </comment>
    <comment ref="A21" authorId="2" shapeId="0">
      <text>
        <t xml:space="preserve">[Threaded comment]
 Your version of Excel allows you to read this threaded comment; however, any edits to it will get removed if the file is opened in a newer version of Excel. Learn more: https://go.microsoft.com/fwlink/?linkid=870924
Comment:
	Cập nhật lại mục tiêu và phạm vi của Phase 2
</t>
      </text>
    </comment>
    <comment ref="A32" authorId="3" shapeId="0">
      <text>
        <t xml:space="preserve">[Threaded comment]
 Your version of Excel allows you to read this threaded comment; however, any edits to it will get removed if the file is opened in a newer version of Excel. Learn more: https://go.microsoft.com/fwlink/?linkid=870924
Comment:
	Cập nhật lại các gói công việc đúng như trong phạm vi của Phase 2, còn về thời gian thì chừa lại
</t>
      </text>
    </comment>
    <comment ref="A35" authorId="4" shapeId="0">
      <text>
        <t xml:space="preserve">[Threaded comment]
 Your version of Excel allows you to read this threaded comment; however, any edits to it will get removed if the file is opened in a newer version of Excel. Learn more: https://go.microsoft.com/fwlink/?linkid=870924
Comment:
	Tại sao lại gọi là cột mốc T3 và T5 vậy anh @tam.bui@blueocean.net.vn
Reply:
	Tại vì tên của product gọi là T3-2026 và T5 -2026, mình có nhất thiết phải đặt tên cột mốc không e, hay là để số của cột mốc là được r
Reply:
	Bên dưới Milestone có liệt kê scope rồi nên chắc để vầy cũng đc anh. E Do e thắc mắc nên e hỏi để rõ thôi
</t>
      </text>
    </comment>
    <comment ref="B42" authorId="5" shapeId="0">
      <text>
        <t xml:space="preserve">[Threaded comment]
 Your version of Excel allows you to read this threaded comment; however, any edits to it will get removed if the file is opened in a newer version of Excel. Learn more: https://go.microsoft.com/fwlink/?linkid=870924
Comment:
	Check lại danh sách tài liệu này xem cần thêm cái nào nữa k anh? Và bổ sung thời gian bàn giao tương ứng giúp e vs
Reply:
	Áp dụng theo bộ tài liệu về game mà đã thống nhất nha em
Reply:
	Dạ vậy anh liệt kê các tài liệu về game vào đây luôn ạ
</t>
      </text>
    </comment>
  </commentList>
</comments>
</file>

<file path=xl/comments/comment4.xml><?xml version="1.0" encoding="utf-8"?>
<comments xmlns="http://schemas.openxmlformats.org/spreadsheetml/2006/main">
  <authors>
    <author>tc={3725d36f-5c78-4851-8ef4-2514904ce77a}</author>
    <author>tc={5b7abaca-30ae-4435-b012-accdd57fa6d0}</author>
    <author>tc={6efae71e-6f7d-45b4-afd7-4926d6be3a6e}</author>
    <author>tc={248204a7-8a8d-4c31-bd16-169c6693396b}</author>
  </authors>
  <commentList>
    <comment ref="A3" authorId="0" shapeId="0">
      <text>
        <t xml:space="preserve">[Threaded comment]
 Your version of Excel allows you to read this threaded comment; however, any edits to it will get removed if the file is opened in a newer version of Excel. Learn more: https://go.microsoft.com/fwlink/?linkid=870924
Comment:
	Bổ sung logo BO
</t>
      </text>
    </comment>
    <comment ref="D7" authorId="1" shapeId="0">
      <text>
        <t xml:space="preserve">[Threaded comment]
 Your version of Excel allows you to read this threaded comment; however, any edits to it will get removed if the file is opened in a newer version of Excel. Learn more: https://go.microsoft.com/fwlink/?linkid=870924
Comment:
	Sheet Overview đang để thời gian của giai đoạn này: 13/10/2025 - 23/11/2025. Nhờ PM check lại ạ
</t>
      </text>
    </comment>
    <comment ref="E7" authorId="2" shapeId="0">
      <text>
        <t xml:space="preserve">[Threaded comment]
 Your version of Excel allows you to read this threaded comment; however, any edits to it will get removed if the file is opened in a newer version of Excel. Learn more: https://go.microsoft.com/fwlink/?linkid=870924
Comment:
	Thiếu 1 tuần rồi anh, bắt đầu từ 13/10 mà
Reply:
	Done
Reply:
	dạ giai đoạn (!3/10-23/11) là 6 tuần, anh mới tô 5 tuần à
Reply:
	Done
</t>
      </text>
    </comment>
    <comment ref="K7" authorId="3" shapeId="0">
      <text>
        <t xml:space="preserve">[Threaded comment]
 Your version of Excel allows you to read this threaded comment; however, any edits to it will get removed if the file is opened in a newer version of Excel. Learn more: https://go.microsoft.com/fwlink/?linkid=870924
Comment:
	PM check lại tô màu của đoạn này vì 23/11 vẫ còn nằm trong tuần thứ 3 của tháng 11
</t>
      </text>
    </comment>
  </commentList>
</comments>
</file>

<file path=xl/comments/comment5.xml><?xml version="1.0" encoding="utf-8"?>
<comments xmlns="http://schemas.openxmlformats.org/spreadsheetml/2006/main">
  <authors>
    <author>tc={dd81196d-c93a-441f-9622-ca6ff70a42ac}</author>
    <author>tc={ad5eed98-bbb4-4bde-bad3-955521f56e2a}</author>
    <author>tc={f02373e2-df30-472c-8a6b-2b364959fb21}</author>
    <author>tc={95edd9f1-eee4-451e-809d-e7c486849b7f}</author>
  </authors>
  <commentList>
    <comment ref="F3" authorId="0" shapeId="0">
      <text>
        <t xml:space="preserve">[Threaded comment]
 Your version of Excel allows you to read this threaded comment; however, any edits to it will get removed if the file is opened in a newer version of Excel. Learn more: https://go.microsoft.com/fwlink/?linkid=870924
Comment:
	Sum cột này nên để cuối bảng, chỉnh title của cột là : Effort (MM)
Reply:
	done
</t>
      </text>
    </comment>
    <comment ref="G3" authorId="1" shapeId="0">
      <text>
        <t xml:space="preserve">[Threaded comment]
 Your version of Excel allows you to read this threaded comment; however, any edits to it will get removed if the file is opened in a newer version of Excel. Learn more: https://go.microsoft.com/fwlink/?linkid=870924
Comment:
	Bổ sung thông tin đầu trang
- Logo BO
- Tiêu đề: KẾ HOẠCH CHI TIẾT/ DETAIL SCHEDULE
- BO-GDM_PP (v2.0)
Kế hoạch dự án/Project Plan (Góc phải)
Reply:
	done
</t>
      </text>
    </comment>
    <comment ref="B6" authorId="2" shapeId="0">
      <text>
        <t xml:space="preserve">[Threaded comment]
 Your version of Excel allows you to read this threaded comment; however, any edits to it will get removed if the file is opened in a newer version of Excel. Learn more: https://go.microsoft.com/fwlink/?linkid=870924
Comment:
	Đồng nhất kiểu chữ và cỡ chữ với các sheet khác nha anh
Reply:
	Done
</t>
      </text>
    </comment>
    <comment ref="E6" authorId="3" shapeId="0">
      <text>
        <t xml:space="preserve">[Threaded comment]
 Your version of Excel allows you to read this threaded comment; however, any edits to it will get removed if the file is opened in a newer version of Excel. Learn more: https://go.microsoft.com/fwlink/?linkid=870924
Comment:
	end date này phải là 23/11/2025 mới khớp chứ anh @tam.bui@blueocean.net.vn
Reply:
	Done
</t>
      </text>
    </comment>
  </commentList>
</comments>
</file>

<file path=xl/comments/comment6.xml><?xml version="1.0" encoding="utf-8"?>
<comments xmlns="http://schemas.openxmlformats.org/spreadsheetml/2006/main">
  <authors>
    <author>tc={1830dec0-3b83-44fa-bc2a-b0f8e3b80ee1}</author>
    <author>tc={60c438f0-8ce2-4076-b26a-6c87b98f9375}</author>
  </authors>
  <commentList>
    <comment ref="R36" authorId="0" shapeId="0">
      <text>
        <t xml:space="preserve">[Threaded comment]
 Your version of Excel allows you to read this threaded comment; however, any edits to it will get removed if the file is opened in a newer version of Excel. Learn more: https://go.microsoft.com/fwlink/?linkid=870924
Comment:
	Sơ đồ đang thiếu vị tri QC của Phương, anh Tâm vẽ bổ sung thêm nhé
Reply:
	Done
</t>
      </text>
    </comment>
    <comment ref="G57" authorId="1" shapeId="0">
      <text>
        <t xml:space="preserve">[Threaded comment]
 Your version of Excel allows you to read this threaded comment; however, any edits to it will get removed if the file is opened in a newer version of Excel. Learn more: https://go.microsoft.com/fwlink/?linkid=870924
Comment:
	PD end ngày 23/11/2025 theo sheet Detail Schedule ạ
Reply:
	Done
</t>
      </text>
    </comment>
  </commentList>
</comments>
</file>

<file path=xl/comments/comment7.xml><?xml version="1.0" encoding="utf-8"?>
<comments xmlns="http://schemas.openxmlformats.org/spreadsheetml/2006/main">
  <authors>
    <author>tc={4e6bbc41-8432-4041-81c4-47a94f25d8c0}</author>
    <author>tc={9f136f7e-f17c-43be-817f-3381bc999eb5}</author>
  </authors>
  <commentList>
    <comment ref="A4" authorId="0" shapeId="0">
      <text>
        <t xml:space="preserve">[Threaded comment]
 Your version of Excel allows you to read this threaded comment; however, any edits to it will get removed if the file is opened in a newer version of Excel. Learn more: https://go.microsoft.com/fwlink/?linkid=870924
Comment:
	Nhờ PM check lại mục này vì nội dung đang thể hiện của phase 1
Reply:
	Updated
</t>
      </text>
    </comment>
    <comment ref="A11" authorId="1" shapeId="0">
      <text>
        <t xml:space="preserve">[Threaded comment]
 Your version of Excel allows you to read this threaded comment; however, any edits to it will get removed if the file is opened in a newer version of Excel. Learn more: https://go.microsoft.com/fwlink/?linkid=870924
Comment:
	tương tự cmt trên
Reply:
	Updated
</t>
      </text>
    </comment>
  </commentList>
</comments>
</file>

<file path=xl/comments/comment8.xml><?xml version="1.0" encoding="utf-8"?>
<comments xmlns="http://schemas.openxmlformats.org/spreadsheetml/2006/main">
  <authors>
    <author>tc={b8edcb13-81f1-4e8b-9df7-2376ebaed1b1}</author>
    <author>tc={9b760a04-2e09-401f-bc2e-64a255e6239b}</author>
    <author>tc={f2f668f2-2557-4c07-825a-3053a154321e}</author>
    <author>tc={1ca3b8aa-31c0-4d6b-a413-78dc03da1f9c}</author>
  </authors>
  <commentList>
    <comment ref="I6" authorId="0" shapeId="0">
      <text>
        <t xml:space="preserve">[Threaded comment]
 Your version of Excel allows you to read this threaded comment; however, any edits to it will get removed if the file is opened in a newer version of Excel. Learn more: https://go.microsoft.com/fwlink/?linkid=870924
Comment:
	Mấy link trong cột này lỗi hết rồi. Check lại giúp e vs nha @tam.bui@blueocean.net.vn
Reply:
	Hiện đang build lại domain khác, khi nào có sẽ update sau nhé
</t>
      </text>
    </comment>
    <comment ref="A28" authorId="1" shapeId="0">
      <text>
        <t xml:space="preserve">[Threaded comment]
 Your version of Excel allows you to read this threaded comment; however, any edits to it will get removed if the file is opened in a newer version of Excel. Learn more: https://go.microsoft.com/fwlink/?linkid=870924
Comment:
	Phần này cần anh Tú check lại với chị Thoan để chốt cấu trúc thư mục rồi update lại vào PP này ạ
Reply:
	@tu.nguyen@blueocean.net.vn
</t>
      </text>
    </comment>
    <comment ref="E31" authorId="2" shapeId="0">
      <text>
        <t xml:space="preserve">[Threaded comment]
 Your version of Excel allows you to read this threaded comment; however, any edits to it will get removed if the file is opened in a newer version of Excel. Learn more: https://go.microsoft.com/fwlink/?linkid=870924
Comment:
	Check lại quyền của các role đối với thư mục CONTROL ạ. Thư mục này chỉ có mỗi PM đc full quyền, còn lại sẽ là quyền View thôi ạ, k được Edit @tam.bui@blueocean.net.vn
Reply:
	Done
</t>
      </text>
    </comment>
    <comment ref="H36" authorId="3" shapeId="0">
      <text>
        <t xml:space="preserve">[Threaded comment]
 Your version of Excel allows you to read this threaded comment; however, any edits to it will get removed if the file is opened in a newer version of Excel. Learn more: https://go.microsoft.com/fwlink/?linkid=870924
Comment:
	Chỗ này nên để quyền E k anh @tam.bui@blueocean.net.vn
</t>
      </text>
    </comment>
  </commentList>
</comments>
</file>

<file path=xl/tables/table1.xml><?xml version="1.0" encoding="utf-8"?>
<table xmlns="http://schemas.openxmlformats.org/spreadsheetml/2006/main" id="1" name="Table_1" displayName="Table_1" ref="B46:B52" headerRowCount="0">
  <tableColumns count="1">
    <tableColumn id="1" name="Column1"/>
  </tableColumns>
  <tableStyleInfo name="1.Overview-style" showFirstColumn="1" showLastColumn="1" showRowStripes="1" showColumnStripes="0"/>
</table>
</file>

<file path=xl/tables/table2.xml><?xml version="1.0" encoding="utf-8"?>
<table xmlns="http://schemas.openxmlformats.org/spreadsheetml/2006/main" id="2" name="Table_2" displayName="Table_2" ref="E7:AZ42" headerRowCount="0">
  <tableColumns count="4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s>
  <tableStyleInfo name="2.Master Schedule-style" showFirstColumn="1" showLastColumn="1" showRowStripes="1" showColumnStripes="0"/>
</table>
</file>

<file path=xl/tables/table3.xml><?xml version="1.0" encoding="utf-8"?>
<table xmlns="http://schemas.openxmlformats.org/spreadsheetml/2006/main" id="3" name="Table_3" displayName="Table_3" ref="E43:AZ45" headerRowCount="0">
  <tableColumns count="4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s>
  <tableStyleInfo name="2.Master Schedule-style 2" showFirstColumn="1" showLastColumn="1" showRowStripes="1" showColumnStripes="0"/>
</table>
</file>

<file path=xl/tables/table4.xml><?xml version="1.0" encoding="utf-8"?>
<table xmlns="http://schemas.openxmlformats.org/spreadsheetml/2006/main" id="4" name="Table_4" displayName="Table_4" ref="E46:AZ46" headerRowCount="0">
  <tableColumns count="4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s>
  <tableStyleInfo name="2.Master Schedule-style 3" showFirstColumn="1" showLastColumn="1" showRowStripes="1" showColumnStripes="0"/>
</table>
</file>

<file path=xl/tables/table5.xml><?xml version="1.0" encoding="utf-8"?>
<table xmlns="http://schemas.openxmlformats.org/spreadsheetml/2006/main" id="5" name="Table_5" displayName="Table_5" ref="E51:AZ53" headerRowCount="0">
  <tableColumns count="4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s>
  <tableStyleInfo name="2.Master Schedule-style 4" showFirstColumn="1" showLastColumn="1" showRowStripes="1" showColumnStripes="0"/>
</table>
</file>

<file path=xl/tables/table6.xml><?xml version="1.0" encoding="utf-8"?>
<table xmlns="http://schemas.openxmlformats.org/spreadsheetml/2006/main" id="6" name="Table_6" displayName="Table_6" ref="E54:AZ55" headerRowCount="0">
  <tableColumns count="4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s>
  <tableStyleInfo name="2.Master Schedule-style 5"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table" Target="/xl/tables/table4.xml" Id="rId3" /><Relationship Type="http://schemas.openxmlformats.org/officeDocument/2006/relationships/table" Target="/xl/tables/table5.xml" Id="rId4" /><Relationship Type="http://schemas.openxmlformats.org/officeDocument/2006/relationships/table" Target="/xl/tables/table6.xml" Id="rId5"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0" summaryRight="0"/>
    <pageSetUpPr fitToPage="1"/>
  </sheetPr>
  <dimension ref="A1:L19"/>
  <sheetViews>
    <sheetView showGridLines="0" workbookViewId="0">
      <selection activeCell="A1" sqref="A1"/>
    </sheetView>
  </sheetViews>
  <sheetFormatPr baseColWidth="8" defaultColWidth="12.63" defaultRowHeight="15" customHeight="1"/>
  <cols>
    <col width="9.130000000000001" customWidth="1" style="443" min="1" max="4"/>
    <col width="23.5" customWidth="1" style="443" min="5" max="6"/>
    <col width="9.130000000000001" customWidth="1" style="443" min="7" max="10"/>
    <col hidden="1" width="12.63" customWidth="1" style="443" min="11" max="12"/>
  </cols>
  <sheetData>
    <row r="1" ht="14.25" customHeight="1" s="443">
      <c r="A1" s="1" t="n"/>
      <c r="B1" s="1" t="n"/>
      <c r="C1" s="1" t="n"/>
      <c r="D1" s="75" t="n"/>
      <c r="E1" s="75" t="n"/>
      <c r="F1" s="3" t="n"/>
      <c r="G1" s="3" t="n"/>
      <c r="H1" s="3" t="n"/>
      <c r="I1" s="3" t="n"/>
      <c r="J1" s="3" t="n"/>
      <c r="K1" s="75" t="n"/>
      <c r="L1" s="75" t="n"/>
    </row>
    <row r="2" ht="54.75" customHeight="1" s="443">
      <c r="A2" s="4" t="inlineStr">
        <is>
          <t>CÔNG TY CỔ PHẦN CÔNG NGHỆ BLUE OCEAN
        BLUE OCEAN TECHNOLOGY JOINT STOCK COMPANY</t>
        </is>
      </c>
      <c r="K2" s="75" t="n"/>
      <c r="L2" s="75" t="n"/>
    </row>
    <row r="3" ht="33.75" customHeight="1" s="443">
      <c r="A3" s="1" t="n"/>
      <c r="B3" s="1" t="n"/>
      <c r="C3" s="1" t="n"/>
      <c r="D3" s="75" t="n"/>
      <c r="E3" s="75" t="n"/>
      <c r="F3" s="3" t="n"/>
      <c r="G3" s="3" t="n"/>
      <c r="H3" s="3" t="n"/>
      <c r="I3" s="3" t="n"/>
      <c r="J3" s="3" t="n"/>
      <c r="K3" s="75" t="n"/>
      <c r="L3" s="75" t="n"/>
    </row>
    <row r="4" ht="135.75" customHeight="1" s="443">
      <c r="A4" s="5" t="inlineStr">
        <is>
          <t>Tên dự án: GADEMY - TRƯỜNG HỌC ẢO GIAI ĐOẠN MVP
Project Name: GADEMY-VIRTUAL SCHOOL MVP PHASE
KẾ HOẠCH DỰ ÁN
PROJECT PLAN</t>
        </is>
      </c>
      <c r="K4" s="75" t="n"/>
      <c r="L4" s="75" t="n"/>
    </row>
    <row r="5" ht="15.75" customHeight="1" s="443">
      <c r="A5" s="75" t="n"/>
      <c r="B5" s="75" t="n"/>
      <c r="C5" s="75" t="n"/>
      <c r="D5" s="75" t="n"/>
      <c r="E5" s="75" t="n"/>
      <c r="F5" s="3" t="n"/>
      <c r="G5" s="3" t="n"/>
      <c r="H5" s="3" t="n"/>
      <c r="I5" s="3" t="n"/>
      <c r="J5" s="3" t="n"/>
      <c r="K5" s="75" t="n"/>
      <c r="L5" s="75" t="n"/>
    </row>
    <row r="6" ht="36.75" customHeight="1" s="443">
      <c r="A6" s="75" t="n"/>
      <c r="B6" s="75" t="n"/>
      <c r="C6" s="75" t="n"/>
      <c r="D6" s="75" t="n"/>
      <c r="E6" s="75" t="n"/>
      <c r="F6" s="75" t="n"/>
      <c r="G6" s="75" t="n"/>
      <c r="H6" s="75" t="n"/>
      <c r="I6" s="75" t="n"/>
      <c r="J6" s="75" t="n"/>
      <c r="K6" s="75" t="n"/>
      <c r="L6" s="75" t="n"/>
    </row>
    <row r="7" ht="42.75" customHeight="1" s="443">
      <c r="A7" s="75" t="n"/>
      <c r="B7" s="75" t="n"/>
      <c r="C7" s="75" t="n"/>
      <c r="D7" s="75" t="n"/>
      <c r="E7" s="6" t="inlineStr">
        <is>
          <t>Mã dự án
Project code</t>
        </is>
      </c>
      <c r="F7" s="7" t="inlineStr">
        <is>
          <t>BO-GDM-MVP</t>
        </is>
      </c>
      <c r="G7" s="75" t="n"/>
      <c r="H7" s="75" t="n"/>
      <c r="I7" s="75" t="n"/>
      <c r="J7" s="75" t="n"/>
      <c r="K7" s="75" t="n"/>
      <c r="L7" s="75" t="n"/>
    </row>
    <row r="8" ht="45.75" customHeight="1" s="443">
      <c r="A8" s="75" t="n"/>
      <c r="B8" s="75" t="n"/>
      <c r="C8" s="75" t="n"/>
      <c r="D8" s="75" t="n"/>
      <c r="E8" s="6" t="inlineStr">
        <is>
          <t>Mã tài liệu
Document code</t>
        </is>
      </c>
      <c r="F8" s="7" t="inlineStr">
        <is>
          <t>BO-GDM-MVP_PP</t>
        </is>
      </c>
      <c r="G8" s="75" t="n"/>
      <c r="H8" s="75" t="n"/>
      <c r="I8" s="75" t="n"/>
      <c r="J8" s="75" t="n"/>
      <c r="K8" s="75" t="n"/>
      <c r="L8" s="75" t="n"/>
    </row>
    <row r="9" ht="36.75" customHeight="1" s="443">
      <c r="A9" s="75" t="n"/>
      <c r="B9" s="75" t="n"/>
      <c r="C9" s="75" t="n"/>
      <c r="D9" s="75" t="n"/>
      <c r="E9" s="6" t="inlineStr">
        <is>
          <t>Phiên bản tài liệu
Vesion</t>
        </is>
      </c>
      <c r="F9" s="8" t="inlineStr">
        <is>
          <t>v1.0</t>
        </is>
      </c>
      <c r="G9" s="75" t="n"/>
      <c r="H9" s="75" t="n"/>
      <c r="I9" s="75" t="n"/>
      <c r="J9" s="75" t="n"/>
      <c r="K9" s="75" t="n"/>
      <c r="L9" s="75" t="n"/>
    </row>
    <row r="10" ht="15.75" customHeight="1" s="443">
      <c r="A10" s="75" t="n"/>
      <c r="B10" s="75" t="n"/>
      <c r="C10" s="75" t="n"/>
      <c r="D10" s="75" t="n"/>
      <c r="E10" s="75" t="n"/>
      <c r="F10" s="75" t="n"/>
      <c r="G10" s="75" t="n"/>
      <c r="H10" s="75" t="n"/>
      <c r="I10" s="75" t="n"/>
      <c r="J10" s="75" t="n"/>
      <c r="K10" s="75" t="n"/>
      <c r="L10" s="75" t="n"/>
    </row>
    <row r="11" ht="15.75" customHeight="1" s="443">
      <c r="A11" s="75" t="n"/>
      <c r="B11" s="75" t="n"/>
      <c r="C11" s="75" t="n"/>
      <c r="D11" s="75" t="n"/>
      <c r="E11" s="75" t="n"/>
      <c r="F11" s="75" t="n"/>
      <c r="G11" s="75" t="n"/>
      <c r="H11" s="75" t="n"/>
      <c r="I11" s="75" t="n"/>
      <c r="J11" s="75" t="n"/>
      <c r="K11" s="75" t="n"/>
      <c r="L11" s="75" t="n"/>
    </row>
    <row r="12" ht="27" customHeight="1" s="443">
      <c r="A12" s="9" t="inlineStr">
        <is>
          <t>TP. Hồ Chí Minh, ngày    tháng    năm 2025
Ho Chi Minh City,                               2025</t>
        </is>
      </c>
      <c r="K12" s="75" t="n"/>
      <c r="L12" s="75" t="n"/>
    </row>
    <row r="13" ht="15.75" customHeight="1" s="443">
      <c r="A13" s="75" t="n"/>
      <c r="B13" s="75" t="n"/>
      <c r="C13" s="75" t="n"/>
      <c r="D13" s="75" t="n"/>
      <c r="E13" s="75" t="n"/>
      <c r="F13" s="75" t="n"/>
      <c r="G13" s="75" t="n"/>
      <c r="H13" s="75" t="n"/>
      <c r="I13" s="75" t="n"/>
      <c r="J13" s="75" t="n"/>
      <c r="K13" s="75" t="n"/>
      <c r="L13" s="75" t="n"/>
    </row>
    <row r="14" ht="15.75" customHeight="1" s="443">
      <c r="A14" s="75" t="n"/>
      <c r="B14" s="75" t="n"/>
      <c r="C14" s="75" t="n"/>
      <c r="D14" s="75" t="n"/>
      <c r="E14" s="75" t="n"/>
      <c r="F14" s="75" t="n"/>
      <c r="G14" s="75" t="n"/>
      <c r="H14" s="75" t="n"/>
      <c r="I14" s="75" t="n"/>
      <c r="J14" s="75" t="n"/>
      <c r="K14" s="75" t="n"/>
      <c r="L14" s="75" t="n"/>
    </row>
    <row r="15" ht="15.75" customHeight="1" s="443">
      <c r="A15" s="75" t="n"/>
      <c r="B15" s="75" t="n"/>
      <c r="C15" s="75" t="n"/>
      <c r="D15" s="75" t="n"/>
      <c r="E15" s="75" t="n"/>
      <c r="F15" s="75" t="n"/>
      <c r="G15" s="75" t="n"/>
      <c r="H15" s="75" t="n"/>
      <c r="I15" s="75" t="n"/>
      <c r="J15" s="75" t="n"/>
      <c r="K15" s="75" t="n"/>
      <c r="L15" s="75" t="n"/>
    </row>
    <row r="16" ht="15.75" customHeight="1" s="443">
      <c r="A16" s="75" t="n"/>
      <c r="B16" s="75" t="n"/>
      <c r="C16" s="75" t="n"/>
      <c r="D16" s="75" t="n"/>
      <c r="E16" s="75" t="n"/>
      <c r="F16" s="75" t="n"/>
      <c r="G16" s="75" t="n"/>
      <c r="H16" s="75" t="n"/>
      <c r="I16" s="75" t="n"/>
      <c r="J16" s="75" t="n"/>
      <c r="K16" s="75" t="n"/>
      <c r="L16" s="75" t="n"/>
    </row>
    <row r="17" ht="15.75" customHeight="1" s="443">
      <c r="A17" s="75" t="n"/>
      <c r="B17" s="75" t="n"/>
      <c r="C17" s="75" t="n"/>
      <c r="D17" s="75" t="n"/>
      <c r="E17" s="75" t="n"/>
      <c r="F17" s="75" t="n"/>
      <c r="G17" s="75" t="n"/>
      <c r="H17" s="75" t="n"/>
      <c r="I17" s="75" t="n"/>
      <c r="J17" s="75" t="n"/>
      <c r="K17" s="75" t="n"/>
      <c r="L17" s="75" t="n"/>
    </row>
    <row r="18" ht="15.75" customHeight="1" s="443">
      <c r="A18" s="75" t="n"/>
      <c r="B18" s="75" t="n"/>
      <c r="C18" s="75" t="n"/>
      <c r="D18" s="75" t="n"/>
      <c r="E18" s="75" t="n"/>
      <c r="F18" s="75" t="n"/>
      <c r="G18" s="75" t="n"/>
      <c r="H18" s="75" t="n"/>
      <c r="I18" s="75" t="n"/>
      <c r="J18" s="75" t="n"/>
      <c r="K18" s="75" t="n"/>
      <c r="L18" s="75" t="n"/>
    </row>
    <row r="19" ht="15.75" customHeight="1" s="443">
      <c r="A19" s="75" t="n"/>
      <c r="B19" s="75" t="n"/>
      <c r="C19" s="75" t="n"/>
      <c r="D19" s="75" t="n"/>
      <c r="E19" s="75" t="n"/>
      <c r="F19" s="75" t="n"/>
      <c r="G19" s="75" t="n"/>
      <c r="H19" s="75" t="n"/>
      <c r="I19" s="75" t="n"/>
      <c r="J19" s="75" t="n"/>
      <c r="K19" s="75" t="n"/>
      <c r="L19" s="75" t="n"/>
    </row>
  </sheetData>
  <mergeCells count="3">
    <mergeCell ref="A12:J12"/>
    <mergeCell ref="A4:J4"/>
    <mergeCell ref="A2:J2"/>
  </mergeCells>
  <pageMargins left="0.7" right="0.7" top="0.75" bottom="0.75" header="0" footer="0"/>
  <pageSetup orientation="landscape" paperSize="9" fitToHeight="0"/>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9"/>
  <sheetViews>
    <sheetView showGridLines="0" workbookViewId="0">
      <selection activeCell="A1" sqref="A1"/>
    </sheetView>
  </sheetViews>
  <sheetFormatPr baseColWidth="8" defaultColWidth="12.63" defaultRowHeight="15" customHeight="1"/>
  <cols>
    <col width="4" customWidth="1" style="443" min="1" max="1"/>
    <col width="15.5" customWidth="1" style="443" min="2" max="2"/>
    <col width="15.63" customWidth="1" style="443" min="3" max="3"/>
    <col width="11.63" customWidth="1" style="443" min="4" max="4"/>
    <col width="17.63" customWidth="1" style="443" min="5" max="5"/>
    <col width="22.25" customWidth="1" style="443" min="6" max="6"/>
    <col width="15.5" customWidth="1" style="443" min="7" max="7"/>
  </cols>
  <sheetData>
    <row r="1" ht="24.75" customHeight="1" s="443">
      <c r="A1" s="75" t="n"/>
      <c r="B1" s="75" t="n"/>
      <c r="C1" s="75" t="n"/>
      <c r="D1" s="75" t="n"/>
      <c r="E1" s="75" t="n"/>
      <c r="F1" s="75" t="n"/>
      <c r="G1" s="75" t="n"/>
    </row>
    <row r="2" ht="40.5" customHeight="1" s="443">
      <c r="A2" s="10" t="n"/>
      <c r="B2" s="11" t="n"/>
      <c r="C2" s="11" t="n"/>
      <c r="D2" s="444" t="n"/>
      <c r="E2" s="444" t="n"/>
      <c r="F2" s="42" t="inlineStr">
        <is>
          <t>BO-GDM-MVP_PP (v1.0)
Kế hoạch dự án/Project Plan</t>
        </is>
      </c>
      <c r="G2" s="444" t="n"/>
    </row>
    <row r="3" ht="20.25" customHeight="1" s="443">
      <c r="A3" s="14" t="n"/>
      <c r="B3" s="15" t="n"/>
      <c r="C3" s="15" t="n"/>
      <c r="D3" s="15" t="n"/>
      <c r="E3" s="15" t="n"/>
      <c r="F3" s="16" t="n"/>
      <c r="G3" s="15" t="n"/>
    </row>
    <row r="4">
      <c r="A4" s="17" t="inlineStr">
        <is>
          <t>LỊCH SỬ THAY ĐỔI
RECORD OF CHANGE</t>
        </is>
      </c>
      <c r="B4" s="15" t="n"/>
      <c r="C4" s="15" t="n"/>
      <c r="D4" s="15" t="n"/>
      <c r="E4" s="15" t="n"/>
      <c r="F4" s="18" t="n"/>
      <c r="G4" s="15" t="n"/>
    </row>
    <row r="5" ht="16.5" customHeight="1" s="443">
      <c r="A5" s="19" t="n"/>
      <c r="B5" s="20" t="n"/>
      <c r="C5" s="20" t="n"/>
      <c r="D5" s="20" t="n"/>
      <c r="E5" s="20" t="n"/>
      <c r="F5" s="18" t="n"/>
      <c r="G5" s="20" t="n"/>
    </row>
    <row r="6" ht="15.75" customHeight="1" s="443">
      <c r="A6" s="21" t="inlineStr">
        <is>
          <t>#</t>
        </is>
      </c>
      <c r="B6" s="22" t="inlineStr">
        <is>
          <t>Ngày sửa đổi
 Initiated date</t>
        </is>
      </c>
      <c r="C6" s="22" t="inlineStr">
        <is>
          <t>Ngày hiệu lực
 Effective date</t>
        </is>
      </c>
      <c r="D6" s="22" t="inlineStr">
        <is>
          <t>Phiên bản
 Version</t>
        </is>
      </c>
      <c r="E6" s="22" t="inlineStr">
        <is>
          <t>Mô tả thay đổi
 Description of Change</t>
        </is>
      </c>
      <c r="F6" s="22" t="inlineStr">
        <is>
          <t>Lý do
Reason</t>
        </is>
      </c>
      <c r="G6" s="22" t="inlineStr">
        <is>
          <t>Ghi chú
 Note</t>
        </is>
      </c>
    </row>
    <row r="7" ht="15.75" customHeight="1" s="443">
      <c r="A7" s="23" t="inlineStr">
        <is>
          <t>1</t>
        </is>
      </c>
      <c r="B7" s="28" t="n"/>
      <c r="C7" s="28" t="n"/>
      <c r="D7" s="25" t="n">
        <v>1</v>
      </c>
      <c r="E7" s="29" t="inlineStr">
        <is>
          <t>Tất cả nội dung/All content</t>
        </is>
      </c>
      <c r="F7" s="29" t="inlineStr">
        <is>
          <t>Khởi tạo tài liệu/Initial release</t>
        </is>
      </c>
      <c r="G7" s="30" t="inlineStr">
        <is>
          <t>N/A</t>
        </is>
      </c>
    </row>
    <row r="8" hidden="1" ht="31.5" customHeight="1" s="443">
      <c r="A8" s="23" t="inlineStr">
        <is>
          <t>2</t>
        </is>
      </c>
      <c r="B8" s="28" t="n"/>
      <c r="C8" s="28" t="n"/>
      <c r="D8" s="25" t="n">
        <v>2</v>
      </c>
      <c r="E8" s="29" t="inlineStr">
        <is>
          <t>Tất cả nội dung/All content</t>
        </is>
      </c>
      <c r="F8" s="29" t="inlineStr">
        <is>
          <t>Thay đổi về nhân sự và tính năng</t>
        </is>
      </c>
      <c r="G8" s="30" t="inlineStr">
        <is>
          <t>N/A</t>
        </is>
      </c>
    </row>
    <row r="9" ht="30.75" customHeight="1" s="443">
      <c r="A9" s="19" t="n"/>
      <c r="B9" s="31" t="n"/>
      <c r="C9" s="31" t="n"/>
      <c r="D9" s="31" t="n"/>
      <c r="E9" s="31" t="n"/>
      <c r="F9" s="31" t="n"/>
      <c r="G9" s="31" t="n"/>
    </row>
    <row r="10" ht="37.5" customHeight="1" s="443">
      <c r="A10" s="445" t="inlineStr">
        <is>
          <t>Người biên soạn
Created by</t>
        </is>
      </c>
      <c r="B10" s="446" t="n"/>
      <c r="C10" s="447" t="n"/>
      <c r="D10" s="445" t="inlineStr">
        <is>
          <t>Người xem xét
Reviewed by</t>
        </is>
      </c>
      <c r="E10" s="447" t="n"/>
      <c r="F10" s="445" t="inlineStr">
        <is>
          <t>Người phê duyệt
Approved by</t>
        </is>
      </c>
      <c r="G10" s="447" t="n"/>
    </row>
    <row r="11" ht="96.75" customHeight="1" s="443">
      <c r="A11" s="448" t="inlineStr">
        <is>
          <t>Ký tên/ngày ký
Sign / Date</t>
        </is>
      </c>
      <c r="B11" s="446" t="n"/>
      <c r="C11" s="447" t="n"/>
      <c r="D11" s="448" t="inlineStr">
        <is>
          <t>Ký tên/ngày ký
Sign / Date</t>
        </is>
      </c>
      <c r="E11" s="447" t="n"/>
      <c r="F11" s="448" t="inlineStr">
        <is>
          <t>Ký tên/ngày ký
Sign / Date</t>
        </is>
      </c>
      <c r="G11" s="447" t="n"/>
    </row>
    <row r="12" ht="30.75" customHeight="1" s="443">
      <c r="A12" s="449" t="inlineStr">
        <is>
          <t>Họ tên/Full name
Bùi Phúc Minh Tâm</t>
        </is>
      </c>
      <c r="B12" s="446" t="n"/>
      <c r="C12" s="447" t="n"/>
      <c r="D12" s="450" t="inlineStr">
        <is>
          <t>Họ tên/Full name
Đinh Thị Tố Loan</t>
        </is>
      </c>
      <c r="E12" s="451" t="n"/>
      <c r="F12" s="450" t="inlineStr">
        <is>
          <t>Họ tên/Full name
Trần Hải Trường</t>
        </is>
      </c>
      <c r="G12" s="451" t="n"/>
    </row>
    <row r="13" ht="27.75" customHeight="1" s="443">
      <c r="A13" s="452" t="inlineStr">
        <is>
          <t>Chức danh/ Title
Project Manager</t>
        </is>
      </c>
      <c r="B13" s="446" t="n"/>
      <c r="C13" s="447" t="n"/>
      <c r="D13" s="453" t="inlineStr">
        <is>
          <t>Chức danh/ Title
Quality Assurance</t>
        </is>
      </c>
      <c r="E13" s="451" t="n"/>
      <c r="F13" s="453" t="inlineStr">
        <is>
          <t>Chức danh/ Title
CEO/Project Director</t>
        </is>
      </c>
      <c r="G13" s="451" t="n"/>
    </row>
    <row r="14" ht="15.75" customHeight="1" s="443">
      <c r="A14" s="75" t="n"/>
      <c r="B14" s="75" t="n"/>
      <c r="C14" s="75" t="n"/>
      <c r="D14" s="75" t="n"/>
      <c r="E14" s="75" t="n"/>
      <c r="F14" s="75" t="n"/>
      <c r="G14" s="75" t="n"/>
    </row>
    <row r="15" ht="15.75" customHeight="1" s="443">
      <c r="A15" s="75" t="n"/>
      <c r="B15" s="75" t="n"/>
      <c r="C15" s="75" t="n"/>
      <c r="D15" s="75" t="n"/>
      <c r="E15" s="75" t="n"/>
      <c r="F15" s="75" t="n"/>
      <c r="G15" s="75" t="n"/>
    </row>
    <row r="16" ht="15.75" customHeight="1" s="443">
      <c r="A16" s="75" t="n"/>
      <c r="B16" s="75" t="n"/>
      <c r="C16" s="75" t="n"/>
      <c r="D16" s="75" t="n"/>
      <c r="E16" s="75" t="n"/>
      <c r="F16" s="75" t="n"/>
      <c r="G16" s="75" t="n"/>
    </row>
    <row r="17" ht="15.75" customHeight="1" s="443">
      <c r="A17" s="75" t="n"/>
      <c r="B17" s="75" t="n"/>
      <c r="C17" s="75" t="n"/>
      <c r="D17" s="75" t="n"/>
      <c r="E17" s="75" t="n"/>
      <c r="F17" s="75" t="n"/>
      <c r="G17" s="75" t="n"/>
    </row>
    <row r="18" ht="15.75" customHeight="1" s="443">
      <c r="A18" s="75" t="n"/>
      <c r="B18" s="75" t="n"/>
      <c r="C18" s="75" t="n"/>
      <c r="D18" s="75" t="n"/>
      <c r="E18" s="75" t="n"/>
      <c r="F18" s="75" t="n"/>
      <c r="G18" s="75" t="n"/>
    </row>
    <row r="19" ht="15.75" customHeight="1" s="443">
      <c r="A19" s="75" t="n"/>
      <c r="B19" s="75" t="n"/>
      <c r="C19" s="75" t="n"/>
      <c r="D19" s="75" t="n"/>
      <c r="E19" s="75" t="n"/>
      <c r="F19" s="75" t="n"/>
      <c r="G19" s="75" t="n"/>
    </row>
  </sheetData>
  <mergeCells count="14">
    <mergeCell ref="C2:E2"/>
    <mergeCell ref="A10:C10"/>
    <mergeCell ref="F2:G2"/>
    <mergeCell ref="F11:G11"/>
    <mergeCell ref="A13:C13"/>
    <mergeCell ref="F12:G12"/>
    <mergeCell ref="A11:C11"/>
    <mergeCell ref="D10:E10"/>
    <mergeCell ref="F10:G10"/>
    <mergeCell ref="D13:E13"/>
    <mergeCell ref="D11:E11"/>
    <mergeCell ref="F13:G13"/>
    <mergeCell ref="A12:C12"/>
    <mergeCell ref="D12:E12"/>
  </mergeCells>
  <pageMargins left="0.75" right="0.408347676" top="0.45" bottom="0.4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fitToPage="1"/>
  </sheetPr>
  <dimension ref="A1:K79"/>
  <sheetViews>
    <sheetView showGridLines="0" workbookViewId="0">
      <selection activeCell="A1" sqref="A1"/>
    </sheetView>
  </sheetViews>
  <sheetFormatPr baseColWidth="8" defaultColWidth="12.63" defaultRowHeight="15" customHeight="1" outlineLevelRow="1"/>
  <cols>
    <col width="5.63" customWidth="1" style="443" min="1" max="1"/>
    <col width="31.5" customWidth="1" style="443" min="2" max="2"/>
    <col width="17.63" customWidth="1" style="443" min="3" max="3"/>
    <col width="21.63" customWidth="1" style="443" min="4" max="4"/>
    <col width="12.13" customWidth="1" style="443" min="5" max="6"/>
    <col width="18.13" customWidth="1" style="443" min="7" max="7"/>
    <col hidden="1" width="7.63" customWidth="1" style="443" min="8" max="10"/>
    <col hidden="1" width="10.13" customWidth="1" style="443" min="11" max="11"/>
  </cols>
  <sheetData>
    <row r="1" ht="33" customHeight="1" s="443">
      <c r="A1" s="1" t="n"/>
      <c r="B1" s="1" t="n"/>
      <c r="C1" s="1" t="n"/>
      <c r="D1" s="75" t="n"/>
      <c r="E1" s="75" t="n"/>
      <c r="F1" s="75" t="n"/>
      <c r="G1" s="75" t="n"/>
      <c r="H1" s="3" t="n"/>
      <c r="I1" s="3" t="n"/>
      <c r="J1" s="3" t="n"/>
      <c r="K1" s="3" t="n"/>
    </row>
    <row r="2" ht="33" customHeight="1" s="443">
      <c r="A2" s="41" t="n"/>
      <c r="B2" s="42">
        <f>ROC!F2</f>
        <v/>
      </c>
      <c r="C2" s="444" t="n"/>
      <c r="D2" s="444" t="n"/>
      <c r="E2" s="444" t="n"/>
      <c r="F2" s="444" t="n"/>
      <c r="G2" s="444" t="n"/>
      <c r="H2" s="3" t="n"/>
      <c r="I2" s="3" t="n"/>
      <c r="J2" s="3" t="n"/>
      <c r="K2" s="3" t="n"/>
    </row>
    <row r="3" ht="33" customHeight="1" s="443">
      <c r="A3" s="1" t="n"/>
      <c r="B3" s="1" t="n"/>
      <c r="C3" s="1" t="n"/>
      <c r="D3" s="75" t="n"/>
      <c r="E3" s="75" t="n"/>
      <c r="F3" s="75" t="n"/>
      <c r="G3" s="75" t="n"/>
      <c r="H3" s="3" t="n"/>
      <c r="I3" s="3" t="n"/>
      <c r="J3" s="3" t="n"/>
      <c r="K3" s="3" t="n"/>
    </row>
    <row r="4" ht="20.25" customHeight="1" s="443">
      <c r="A4" s="454" t="inlineStr">
        <is>
          <t>I. Thuật ngữ và viết tắt/ Term and Acromyms</t>
        </is>
      </c>
      <c r="H4" s="3" t="n"/>
      <c r="I4" s="3" t="n"/>
      <c r="J4" s="3" t="n"/>
      <c r="K4" s="3" t="n"/>
    </row>
    <row r="5" outlineLevel="1" s="443">
      <c r="A5" s="46" t="n"/>
      <c r="B5" s="47" t="n"/>
      <c r="C5" s="48" t="n"/>
      <c r="D5" s="48" t="n"/>
      <c r="E5" s="48" t="n"/>
      <c r="F5" s="48" t="n"/>
      <c r="G5" s="48" t="n"/>
      <c r="H5" s="49" t="n"/>
      <c r="I5" s="49" t="n"/>
      <c r="J5" s="49" t="n"/>
      <c r="K5" s="49" t="n"/>
    </row>
    <row r="6" outlineLevel="1" ht="33" customHeight="1" s="443">
      <c r="A6" s="50" t="inlineStr">
        <is>
          <t>#</t>
        </is>
      </c>
      <c r="B6" s="50" t="inlineStr">
        <is>
          <t>Ký hiệu/ Symbol</t>
        </is>
      </c>
      <c r="C6" s="50" t="inlineStr">
        <is>
          <t>Giải thích/  Explantation</t>
        </is>
      </c>
      <c r="D6" s="446" t="n"/>
      <c r="E6" s="446" t="n"/>
      <c r="F6" s="446" t="n"/>
      <c r="G6" s="447" t="n"/>
      <c r="H6" s="52" t="n"/>
      <c r="I6" s="52" t="n"/>
      <c r="J6" s="52" t="n"/>
      <c r="K6" s="52" t="n"/>
    </row>
    <row r="7" outlineLevel="1" s="443">
      <c r="A7" s="85" t="n">
        <v>1</v>
      </c>
      <c r="B7" s="54" t="inlineStr">
        <is>
          <t>PD (Product Director)</t>
        </is>
      </c>
      <c r="C7" s="87" t="inlineStr">
        <is>
          <t>Giám đốc phụ trách sản phẩm: quyết định định hướng sản phẩm, phân bổ ngân sách và phê duyệt nội dung theo chiến lược kinh doanh và nhu cầu của khách hàng / Product Director: Decides product direction, budget allocation, and content approval based on business strategy and client needs.</t>
        </is>
      </c>
      <c r="D7" s="446" t="n"/>
      <c r="E7" s="446" t="n"/>
      <c r="F7" s="446" t="n"/>
      <c r="G7" s="447" t="n"/>
      <c r="H7" s="52" t="n"/>
      <c r="I7" s="52" t="n"/>
      <c r="J7" s="52" t="n"/>
      <c r="K7" s="52" t="n"/>
    </row>
    <row r="8" outlineLevel="1" s="443">
      <c r="A8" s="85" t="n">
        <v>2</v>
      </c>
      <c r="B8" s="59" t="inlineStr">
        <is>
          <t>PdM (Product Manager)</t>
        </is>
      </c>
      <c r="C8" s="87" t="inlineStr">
        <is>
          <t xml:space="preserve"> Quản lý sản phẩm: chịu trách nhiệm toàn bộ vòng đời sản phẩm, từ xác định nhu cầu khách hàng, phối hợp phát triển đến hỗ trợ kinh doanh. Đưa ra tầm nhìn sản phẩm, đảm bảo sản phẩm phù hợp với mục tiêu công ty và dẫn dắt các bộ phận liên quan. / Product Manager: Oversees the entire product lifecycle, from identifying client needs and coordinating development to supporting business goals. Provides product vision and leads cross-functional teams to ensure alignment with company objectives.</t>
        </is>
      </c>
      <c r="D8" s="446" t="n"/>
      <c r="E8" s="446" t="n"/>
      <c r="F8" s="446" t="n"/>
      <c r="G8" s="447" t="n"/>
      <c r="H8" s="57" t="n"/>
      <c r="I8" s="57" t="n"/>
      <c r="J8" s="57" t="n"/>
      <c r="K8" s="57" t="n"/>
    </row>
    <row r="9" outlineLevel="1" s="443">
      <c r="A9" s="85" t="n">
        <v>3</v>
      </c>
      <c r="B9" s="59" t="inlineStr">
        <is>
          <t>PjM (Project Manager)</t>
        </is>
      </c>
      <c r="C9" s="87" t="inlineStr">
        <is>
          <t>Quản lý dự án: điều phối toàn bộ dự án gia công game, theo dõi tiến độ, tối ưu nguồn lực và đảm bảo dự án hoàn thành đúng hạn, đúng chất lượng cam kết / Project Manager: Coordinates outsourced software/game projects, monitors progress, optimizes resources, and ensures timely and quality delivery.</t>
        </is>
      </c>
      <c r="D9" s="446" t="n"/>
      <c r="E9" s="446" t="n"/>
      <c r="F9" s="446" t="n"/>
      <c r="G9" s="447" t="n"/>
      <c r="H9" s="58" t="n"/>
      <c r="I9" s="58" t="n"/>
      <c r="J9" s="58" t="n"/>
      <c r="K9" s="58" t="n"/>
    </row>
    <row r="10" outlineLevel="1" s="443">
      <c r="A10" s="85" t="n">
        <v>4</v>
      </c>
      <c r="B10" s="59" t="inlineStr">
        <is>
          <t>GDM</t>
        </is>
      </c>
      <c r="C10" s="87" t="inlineStr">
        <is>
          <t>Tên phần mềm giáo dục Gademy / Name of educational software Gademy</t>
        </is>
      </c>
      <c r="D10" s="446" t="n"/>
      <c r="E10" s="446" t="n"/>
      <c r="F10" s="446" t="n"/>
      <c r="G10" s="447" t="n"/>
      <c r="H10" s="57" t="n"/>
      <c r="I10" s="57" t="n"/>
      <c r="J10" s="57" t="n"/>
      <c r="K10" s="57" t="n"/>
    </row>
    <row r="11" outlineLevel="1" s="443">
      <c r="A11" s="85" t="n">
        <v>5</v>
      </c>
      <c r="B11" s="59" t="inlineStr">
        <is>
          <t>NPC (Non-player Character)</t>
        </is>
      </c>
      <c r="C11" s="87" t="inlineStr">
        <is>
          <t>Nhân vật trong game do máy tính điều khiển (AI) / Computer-controlled game characters (AI)</t>
        </is>
      </c>
      <c r="D11" s="446" t="n"/>
      <c r="E11" s="446" t="n"/>
      <c r="F11" s="446" t="n"/>
      <c r="G11" s="447" t="n"/>
      <c r="H11" s="57" t="n"/>
      <c r="I11" s="57" t="n"/>
      <c r="J11" s="57" t="n"/>
      <c r="K11" s="57" t="n"/>
    </row>
    <row r="12" outlineLevel="1" s="443">
      <c r="A12" s="85" t="n">
        <v>6</v>
      </c>
      <c r="B12" s="59" t="inlineStr">
        <is>
          <t>GD (Game Designer)</t>
        </is>
      </c>
      <c r="C12" s="87" t="inlineStr">
        <is>
          <t>Nhà thiết kế trò chơi: xây dựng ý tưởng, cơ chế gameplay, hệ thống và trải nghiệm người chơi; tạo tài liệu thiết kế để hướng dẫn team phát triển thực hiện đúng theo định hướng dự án / Game Designer: Develops concepts, gameplay mechanics, systems, and player experiences; creates design documents to guide the development team in delivering on project vision.</t>
        </is>
      </c>
      <c r="D12" s="446" t="n"/>
      <c r="E12" s="446" t="n"/>
      <c r="F12" s="446" t="n"/>
      <c r="G12" s="447" t="n"/>
      <c r="H12" s="57" t="n"/>
      <c r="I12" s="57" t="n"/>
      <c r="J12" s="57" t="n"/>
      <c r="K12" s="57" t="n"/>
    </row>
    <row r="13" outlineLevel="1" s="443">
      <c r="A13" s="85" t="n">
        <v>7</v>
      </c>
      <c r="B13" s="59" t="inlineStr">
        <is>
          <t>PO (Product Owner)</t>
        </is>
      </c>
      <c r="C13" s="87" t="inlineStr">
        <is>
          <t>Đại diện sản phẩm: làm cầu nối giữa khách hàng và team phát triển, chịu trách nhiệm quản lý backlog, làm rõ yêu cầu và xác nhận đầu ra sản phẩm đúng mong đợi / Product Owner: Acts as the bridge between client and development team, manages the backlog, clarifies requirements, and validates deliverables to meet expectations.</t>
        </is>
      </c>
      <c r="D13" s="446" t="n"/>
      <c r="E13" s="446" t="n"/>
      <c r="F13" s="446" t="n"/>
      <c r="G13" s="447" t="n"/>
      <c r="H13" s="57" t="n"/>
      <c r="I13" s="57" t="n"/>
      <c r="J13" s="57" t="n"/>
      <c r="K13" s="57" t="n"/>
    </row>
    <row r="14" outlineLevel="1" s="443">
      <c r="A14" s="85" t="n">
        <v>8</v>
      </c>
      <c r="B14" s="59" t="inlineStr">
        <is>
          <t>UI/UX (UI/UX Designer)</t>
        </is>
      </c>
      <c r="C14" s="87" t="inlineStr">
        <is>
          <t>UI/UX Designer: Thiết kế giao diện và trải nghiệm người dùng: phân tích yêu cầu người dùng và tạo ra các thiết kế giao diện đảm bảo tính dễ sử dụng, hấp dẫn và tối ưu trải nghiệm người dùng cuối / UI/UX Designer: Designs interfaces and user experiences by analyzing user requirements and creating designs that ensure usability, appeal, and optimal end-user experiences.</t>
        </is>
      </c>
      <c r="D14" s="446" t="n"/>
      <c r="E14" s="446" t="n"/>
      <c r="F14" s="446" t="n"/>
      <c r="G14" s="447" t="n"/>
      <c r="H14" s="57" t="n"/>
      <c r="I14" s="57" t="n"/>
      <c r="J14" s="57" t="n"/>
      <c r="K14" s="57" t="n"/>
    </row>
    <row r="15" outlineLevel="1" s="443">
      <c r="A15" s="85" t="n">
        <v>9</v>
      </c>
      <c r="B15" s="59" t="inlineStr">
        <is>
          <t>AL (Artist Leader)</t>
        </is>
      </c>
      <c r="C15" s="87" t="inlineStr">
        <is>
          <t>Trưởng nhóm họa sĩ: quản lý team thiết kế 2D/3D, phân công công việc, đảm bảo chất lượng hình ảnh theo định hướng mỹ thuật và tiến độ dự án / Artist Leader: Manages the 2D/3D art team, assigns tasks, and ensures visual quality aligns with art direction and project timelines.</t>
        </is>
      </c>
      <c r="D15" s="446" t="n"/>
      <c r="E15" s="446" t="n"/>
      <c r="F15" s="446" t="n"/>
      <c r="G15" s="447" t="n"/>
      <c r="H15" s="57" t="n"/>
      <c r="I15" s="57" t="n"/>
      <c r="J15" s="57" t="n"/>
      <c r="K15" s="57" t="n"/>
    </row>
    <row r="16" outlineLevel="1" s="443">
      <c r="A16" s="85" t="n">
        <v>10</v>
      </c>
      <c r="B16" s="59" t="inlineStr">
        <is>
          <t>TL (Technical Leader)</t>
        </is>
      </c>
      <c r="C16" s="87" t="inlineStr">
        <is>
          <t>TL: hướng dẫn kỹ thuật cho nhóm phát triển, đảm bảo kiến trúc và công nghệ được áp dụng hiệu quả trong việc xây dựng phần mềm / Technical Leader: Leads and provides technical guidance to the development team, ensuring that architecture and technologies are effectively applied in software development.</t>
        </is>
      </c>
      <c r="D16" s="446" t="n"/>
      <c r="E16" s="446" t="n"/>
      <c r="F16" s="446" t="n"/>
      <c r="G16" s="447" t="n"/>
      <c r="H16" s="57" t="n"/>
      <c r="I16" s="57" t="n"/>
      <c r="J16" s="57" t="n"/>
      <c r="K16" s="57" t="n"/>
    </row>
    <row r="17" outlineLevel="1" s="443">
      <c r="A17" s="85" t="n">
        <v>11</v>
      </c>
      <c r="B17" s="59" t="inlineStr">
        <is>
          <t>QC (Quality Control)</t>
        </is>
      </c>
      <c r="C17" s="87" t="inlineStr">
        <is>
          <t>QC: phụ trách kiểm thử và đảm bảo chất lượng phần mềm, phát hiện lỗi và vấn đề trước khi phát hành sản phẩm / Quality Control: Responsible for testing and ensuring the quality of software, identifying bugs and issues before the product release.</t>
        </is>
      </c>
      <c r="D17" s="446" t="n"/>
      <c r="E17" s="446" t="n"/>
      <c r="F17" s="446" t="n"/>
      <c r="G17" s="447" t="n"/>
      <c r="H17" s="57" t="n"/>
      <c r="I17" s="57" t="n"/>
      <c r="J17" s="57" t="n"/>
      <c r="K17" s="57" t="n"/>
    </row>
    <row r="18" outlineLevel="1" s="443">
      <c r="A18" s="85" t="n">
        <v>12</v>
      </c>
      <c r="B18" s="59" t="inlineStr">
        <is>
          <t>QA (Quality Analyst)</t>
        </is>
      </c>
      <c r="C18" s="87" t="inlineStr">
        <is>
          <t>QA: giám sát và kiểm tra các quy trình phát triển phần mềm để đảm bảo sản phẩm cuối cùng tuân thủ các tiêu chuẩn chất lượng đã đặt ra / QA: Oversees and inspects software development processes to ensure the final product adheres to established quality standards.</t>
        </is>
      </c>
      <c r="D18" s="446" t="n"/>
      <c r="E18" s="446" t="n"/>
      <c r="F18" s="446" t="n"/>
      <c r="G18" s="447" t="n"/>
      <c r="H18" s="57" t="n"/>
      <c r="I18" s="57" t="n"/>
      <c r="J18" s="57" t="n"/>
      <c r="K18" s="57" t="n"/>
    </row>
    <row r="19" outlineLevel="1" s="443">
      <c r="A19" s="85" t="n">
        <v>13</v>
      </c>
      <c r="B19" s="59" t="inlineStr">
        <is>
          <t>Dev (IT Developer)</t>
        </is>
      </c>
      <c r="C19" s="87" t="inlineStr">
        <is>
          <t>Dev: thực hiện việc coding và lập trình, tạo ra các giải pháp phần mềm, và cải tiến kỹ thuật để nâng cao hiệu suất và chất lượng sản phẩm / Developer: Executes coding and programming, creates software solutions, and implements technical improvements to enhance product performance and quality.</t>
        </is>
      </c>
      <c r="D19" s="446" t="n"/>
      <c r="E19" s="446" t="n"/>
      <c r="F19" s="446" t="n"/>
      <c r="G19" s="447" t="n"/>
      <c r="H19" s="57" t="n"/>
      <c r="I19" s="57" t="n"/>
      <c r="J19" s="57" t="n"/>
      <c r="K19" s="57" t="n"/>
    </row>
    <row r="20" outlineLevel="1" ht="33" customHeight="1" s="443">
      <c r="A20" s="75" t="n"/>
      <c r="B20" s="75" t="n"/>
      <c r="C20" s="75" t="n"/>
      <c r="D20" s="75" t="n"/>
      <c r="E20" s="75" t="n"/>
      <c r="F20" s="75" t="n"/>
      <c r="G20" s="75" t="n"/>
      <c r="H20" s="75" t="n"/>
      <c r="I20" s="75" t="n"/>
      <c r="J20" s="75" t="n"/>
      <c r="K20" s="75" t="n"/>
    </row>
    <row r="21" ht="21" customHeight="1" s="443">
      <c r="A21" s="455" t="inlineStr">
        <is>
          <t xml:space="preserve">II. Mục tiêu dự án/ Project Objective </t>
        </is>
      </c>
      <c r="H21" s="75" t="n"/>
      <c r="I21" s="75" t="n"/>
      <c r="J21" s="75" t="n"/>
      <c r="K21" s="75" t="n"/>
    </row>
    <row r="22" outlineLevel="1" s="443">
      <c r="A22" s="65" t="n"/>
      <c r="B22" s="65" t="n"/>
      <c r="C22" s="65" t="n"/>
      <c r="D22" s="65" t="n"/>
      <c r="E22" s="65" t="n"/>
      <c r="F22" s="65" t="n"/>
      <c r="G22" s="65" t="n"/>
      <c r="H22" s="63" t="n"/>
      <c r="I22" s="63" t="n"/>
      <c r="J22" s="63" t="n"/>
      <c r="K22" s="63" t="n"/>
    </row>
    <row r="23" outlineLevel="1" ht="15.75" customHeight="1" s="443">
      <c r="A23" s="64" t="n">
        <v>1</v>
      </c>
      <c r="B23" s="64" t="inlineStr">
        <is>
          <t>Mục tiêu và tổng quan sản phẩm:/ Product Overview and Objective</t>
        </is>
      </c>
      <c r="H23" s="63" t="n"/>
      <c r="I23" s="63" t="n"/>
      <c r="J23" s="63" t="n"/>
      <c r="K23" s="63" t="n"/>
    </row>
    <row r="24" outlineLevel="1" s="443">
      <c r="A24" s="65" t="n"/>
      <c r="B24" s="65" t="inlineStr">
        <is>
          <t>Gademy là một phần mềm giáo dục phiêu lưu hành động nhập vai cho học sinh từ lớp 1 đến lớp 9, lấy bối cảnh là một thế giới hoạt hình trong tương lai. Phần mềm được cân bằng giữa việc học và giải trí, nhằm đạt được kết quả giáo dục mạnh mẽ và mức độ tương tác cao của người dùng. 
Gademy sẽ đạt được hai mục tiêu này bằng những yếu tố sau:
Trải nghiệm nhập vai (Immersive world-building) - Thật sự sống trong game (truly alive inside the game), không gian sống động (vibrant environments), tự do khám phá và kết nối cảm xúc.
Học mà chơi (Entertaining) - Tạo cảm giác vui vẻ (Fun makes learning addictive), Người chơi bị cuốn vào việc học và không nhận ra điều đó
Cạnh tranh và thi đua lành mạnh (Competitive) - Challenges spark drive, mọi người muốn thăng cấp và chiến thắng.
Tương tác với bạn bè (Social interaction) -  việc học trở nên sinh động hơn cùng chia sẻ, hợp tác và vui cười trong một môi trường tương tác an toàn và được giám sát
Tích hợp với AI (AI Integration) - NPC chân thực hữu ích. Luôn tự động làm mới cả NPC lẫn nhiệm vụ học tập, giúp mỗi trải nghiệm đều độc đáo</t>
        </is>
      </c>
      <c r="H24" s="63" t="n"/>
      <c r="I24" s="63" t="n"/>
      <c r="J24" s="63" t="n"/>
      <c r="K24" s="63" t="n"/>
    </row>
    <row r="25" outlineLevel="1" ht="15.75" customHeight="1" s="443">
      <c r="A25" s="65" t="n"/>
      <c r="B25" s="65" t="inlineStr">
        <is>
          <t>- Bao gồm 2 cột mốc</t>
        </is>
      </c>
      <c r="C25" s="65" t="n"/>
      <c r="D25" s="65" t="n"/>
      <c r="E25" s="65" t="n"/>
      <c r="F25" s="65" t="n"/>
      <c r="G25" s="65" t="n"/>
      <c r="H25" s="63" t="n"/>
      <c r="I25" s="63" t="n"/>
      <c r="J25" s="63" t="n"/>
      <c r="K25" s="63" t="n"/>
    </row>
    <row r="26" outlineLevel="1" ht="15.75" customHeight="1" s="443">
      <c r="A26" s="65" t="n"/>
      <c r="B26" s="65" t="inlineStr">
        <is>
          <t>Cột mốc 1: Xây dựng môi trường 3D trải nghiệm ảo tương tác, cho phép học sinh khám phá, học và chơi, kết nối trực tiếp với bạn bè, 
nhằm hỗ trợ trường tăng tỷ lệ chuyển đổi từ quan tâm sang đăng ký nhập học.</t>
        </is>
      </c>
      <c r="H26" s="63" t="n"/>
      <c r="I26" s="63" t="n"/>
      <c r="J26" s="63" t="n"/>
      <c r="K26" s="63" t="n"/>
    </row>
    <row r="27" outlineLevel="1" ht="15.75" customHeight="1" s="443">
      <c r="A27" s="65" t="n"/>
      <c r="B27" s="65" t="inlineStr">
        <is>
          <t>Cột mốc 2: Phát triển GDM như một nền tảng học tập kết hợp giải trí, nơi học sinh có thể vừa học, vừa chơi game, kết nối bạn bè và sáng tạo tự do, nhằm tăng hiệu quả học tập và mức độ hứng thú trong trải nghiệm học tập</t>
        </is>
      </c>
      <c r="H27" s="63" t="n"/>
      <c r="I27" s="63" t="n"/>
      <c r="J27" s="63" t="n"/>
      <c r="K27" s="63" t="n"/>
    </row>
    <row r="28" outlineLevel="1" ht="15.75" customHeight="1" s="443">
      <c r="A28" s="64" t="n">
        <v>2</v>
      </c>
      <c r="B28" s="64" t="inlineStr">
        <is>
          <t>Mục tiêu xây dựng sản phẩm trong giai đoạn MVP</t>
        </is>
      </c>
      <c r="E28" s="65" t="n"/>
      <c r="F28" s="65" t="n"/>
      <c r="G28" s="65" t="n"/>
      <c r="H28" s="63" t="n"/>
      <c r="I28" s="63" t="n"/>
      <c r="J28" s="63" t="n"/>
      <c r="K28" s="63" t="n"/>
    </row>
    <row r="29" outlineLevel="1" s="443">
      <c r="A29" s="65" t="n"/>
      <c r="B29" s="66" t="inlineStr">
        <is>
          <t>- Mục tiêu chính: 
+ Giúp các trường (B2B) tăng tỷ lệ tuyển sinh thông qua việc hỗ trợ học sinh khám phá, tương tác và kết nối với nhà trường trước khi nhập học tại GDM.
+ Giúp học sinh (B2C) học tập hiệu quả và hứng thú hơn qua GDM nơi các em có thể vừa học, vừa chơi game, kết nối bạn bè và tự do sáng tạo theo cách của mình.
- Tính năng cốt lõi: 
+ Trải nghiệm nhập vai (Immersive world-building) - Thật sự sống trong game (truly alive inside the game), không gian sống động (vibrant environments), tự do khám phá và kết nối cảm xúc.
+ Học mà chơi (Entertaining) - Tạo cảm giác vui vẻ (Fun makes learning addictive), Người chơi bị cuốn vào việc học và không nhận ra điều đó
+ Cạnh tranh và thi đua lành mạnh (Competitive) - Challenges spark drive, mọi người muốn thăng cấp và chiến thắng.
+ Tương tác với bạn bè (Social interaction) -  việc học trở nên sinh động hơn cùng chia sẻ, hợp tác và vui cười trong một môi trường tương tác an toàn và được giám sát
+ Tích hợp với AI (AI Integration) - NPC chân thực hữu ích. Luôn tự động làm mới cả NPC lẫn nhiệm vụ học tập, giúp mỗi trải nghiệm đều độc đáo</t>
        </is>
      </c>
      <c r="H29" s="67" t="n"/>
      <c r="I29" s="67" t="n"/>
      <c r="J29" s="67" t="n"/>
      <c r="K29" s="67" t="n"/>
    </row>
    <row r="30" outlineLevel="1" ht="15.75" customHeight="1" s="443">
      <c r="A30" s="69" t="n"/>
      <c r="B30" s="69" t="n"/>
      <c r="C30" s="69" t="n"/>
      <c r="D30" s="69" t="n"/>
      <c r="E30" s="69" t="n"/>
      <c r="F30" s="69" t="n"/>
      <c r="G30" s="69" t="n"/>
      <c r="H30" s="63" t="n"/>
      <c r="I30" s="63" t="n"/>
      <c r="J30" s="63" t="n"/>
      <c r="K30" s="63" t="n"/>
    </row>
    <row r="31" outlineLevel="1" ht="15.75" customHeight="1" s="443">
      <c r="A31" s="69" t="n"/>
      <c r="B31" s="69" t="n"/>
      <c r="C31" s="69" t="n"/>
      <c r="D31" s="69" t="n"/>
      <c r="E31" s="69" t="n"/>
      <c r="F31" s="69" t="n"/>
      <c r="G31" s="69" t="n"/>
      <c r="H31" s="63" t="n"/>
      <c r="I31" s="63" t="n"/>
      <c r="J31" s="63" t="n"/>
      <c r="K31" s="63" t="n"/>
    </row>
    <row r="32" ht="21" customHeight="1" s="443">
      <c r="A32" s="455" t="inlineStr">
        <is>
          <t>III. Phạm vi dự án/ Project Scope</t>
        </is>
      </c>
      <c r="H32" s="75" t="n"/>
      <c r="I32" s="75" t="n"/>
      <c r="J32" s="75" t="n"/>
      <c r="K32" s="75" t="n"/>
    </row>
    <row r="33" outlineLevel="1" ht="19.5" customHeight="1" s="443">
      <c r="A33" s="64" t="inlineStr">
        <is>
          <t>III.1</t>
        </is>
      </c>
      <c r="B33" s="64" t="inlineStr">
        <is>
          <t>Phạm vi dự án giai đoạn MVP/ Project Scope MVP Phase</t>
        </is>
      </c>
      <c r="H33" s="75" t="n"/>
      <c r="I33" s="75" t="n"/>
      <c r="J33" s="75" t="n"/>
      <c r="K33" s="75" t="n"/>
    </row>
    <row r="34" outlineLevel="1" ht="19.5" customHeight="1" s="443">
      <c r="A34" s="70" t="inlineStr">
        <is>
          <t xml:space="preserve">0. Nghiên cứu và Lên kế hoạch các chức năng cho giai đoạn MVP từ ngày 13/10/2025 đến hết ngày 23/11/2025 </t>
        </is>
      </c>
      <c r="H34" s="75" t="n"/>
      <c r="I34" s="75" t="n"/>
      <c r="J34" s="75" t="n"/>
      <c r="K34" s="75" t="n"/>
    </row>
    <row r="35" outlineLevel="1" ht="19.5" customHeight="1" s="443">
      <c r="A35" s="70" t="inlineStr">
        <is>
          <t>1. Milestone 1: Hoàn thiện cột mốc T3 từ ngày 24/11/2025 đến hết ngày 23/02/2026</t>
        </is>
      </c>
      <c r="H35" s="75" t="n"/>
      <c r="I35" s="75" t="n"/>
      <c r="J35" s="75" t="n"/>
      <c r="K35" s="75" t="n"/>
    </row>
    <row r="36" outlineLevel="1" s="443">
      <c r="A36" s="70" t="inlineStr">
        <is>
          <t>- Giao diện mới thu hút học sinh
  + Thế giới 3D với giao diện mới hấp dẫn
- Nâng cao tương tác xã hội
  + Trao đổi trực tuyến với các học sinh khác
- Hoạt động học - chơi liền mạch 
  + Các gameplay mang tính thi đua và cộng tác
  + Mô hình trường học ảo
  + Lớp học trực tuyến
  + Khám phá các chương trình học tập trong tập đoàn</t>
        </is>
      </c>
      <c r="H36" s="75" t="n"/>
      <c r="I36" s="75" t="n"/>
      <c r="J36" s="75" t="n"/>
      <c r="K36" s="75" t="n"/>
    </row>
    <row r="37" outlineLevel="1" s="443">
      <c r="A37" s="70" t="inlineStr">
        <is>
          <t>2. Milestone 2: Hoàn thiện cột mốc T5 từ ngày 24/02/2026 đến hết ngày 22/05/2026</t>
        </is>
      </c>
      <c r="H37" s="75" t="n"/>
      <c r="I37" s="75" t="n"/>
      <c r="J37" s="75" t="n"/>
      <c r="K37" s="75" t="n"/>
    </row>
    <row r="38" outlineLevel="1" s="443">
      <c r="A38" s="70" t="inlineStr">
        <is>
          <t>- Nâng cao sự gắn kết giữa học – chơi  
  + AI NPCs hỗ trợ học tập
  + Hệ thống mission, challenge và phần thưởng động lực.
- Tự do bộc lộ phong cách cá nhân và kết nối xã hội
  + Khu vực nhà riêng và avatar cá nhân hóa
- Xây dựng cộng đồng an toàn và tích cực
  + AI NPCs tư vấn tâm lý
  + Các tính năng bổ trợ khuyến khích tương tác tích cực</t>
        </is>
      </c>
      <c r="H38" s="75" t="n"/>
      <c r="I38" s="75" t="n"/>
      <c r="J38" s="75" t="n"/>
      <c r="K38" s="75" t="n"/>
    </row>
    <row r="39" outlineLevel="1" s="443">
      <c r="A39" s="71" t="inlineStr">
        <is>
          <t>3. Thực hiện UAT và Launching từ ngày 23/05/2026 đến hết ngày 01/06/2026</t>
        </is>
      </c>
      <c r="H39" s="75" t="n"/>
      <c r="I39" s="75" t="n"/>
      <c r="J39" s="75" t="n"/>
      <c r="K39" s="75" t="n"/>
    </row>
    <row r="40" ht="21" customHeight="1" s="443">
      <c r="A40" s="455" t="inlineStr">
        <is>
          <t>IV. Sản phẩm bàn giao dự án/ Project Deliverables</t>
        </is>
      </c>
      <c r="H40" s="75" t="n"/>
      <c r="I40" s="75" t="n"/>
      <c r="J40" s="75" t="n"/>
      <c r="K40" s="75" t="n"/>
    </row>
    <row r="41" outlineLevel="1" ht="33" customHeight="1" s="443">
      <c r="A41" s="75" t="n"/>
      <c r="B41" s="75" t="n"/>
      <c r="C41" s="75" t="n"/>
      <c r="D41" s="75" t="n"/>
      <c r="E41" s="75" t="n"/>
      <c r="F41" s="75" t="n"/>
      <c r="G41" s="75" t="n"/>
      <c r="H41" s="75" t="n"/>
      <c r="I41" s="75" t="n"/>
      <c r="J41" s="75" t="n"/>
      <c r="K41" s="75" t="n"/>
    </row>
    <row r="42" outlineLevel="1" ht="33" customHeight="1" s="443">
      <c r="A42" s="75" t="n"/>
      <c r="B42" s="72" t="inlineStr">
        <is>
          <t>Sản phẩm</t>
        </is>
      </c>
      <c r="C42" s="72" t="inlineStr">
        <is>
          <t>Thời gian bàn giao</t>
        </is>
      </c>
      <c r="E42" s="75" t="n"/>
      <c r="F42" s="75" t="n"/>
      <c r="G42" s="75" t="n"/>
      <c r="H42" s="75" t="n"/>
      <c r="I42" s="75" t="n"/>
      <c r="J42" s="75" t="n"/>
      <c r="K42" s="75" t="n"/>
    </row>
    <row r="43" outlineLevel="1" ht="33" customHeight="1" s="443">
      <c r="A43" s="75" t="n"/>
      <c r="B43" s="77" t="inlineStr">
        <is>
          <t>Kế hoạch dự án</t>
        </is>
      </c>
      <c r="C43" s="74" t="n">
        <v>45978</v>
      </c>
      <c r="E43" s="75" t="n"/>
      <c r="F43" s="75" t="n"/>
      <c r="G43" s="75" t="n"/>
      <c r="H43" s="75" t="n"/>
      <c r="I43" s="75" t="n"/>
      <c r="J43" s="75" t="n"/>
      <c r="K43" s="75" t="n"/>
    </row>
    <row r="44" outlineLevel="1" ht="33" customHeight="1" s="443">
      <c r="A44" s="75" t="n"/>
      <c r="B44" s="77" t="inlineStr">
        <is>
          <t>Đề xuất chi phí dự án</t>
        </is>
      </c>
      <c r="C44" s="74" t="n">
        <v>45978</v>
      </c>
      <c r="E44" s="75" t="n"/>
      <c r="F44" s="75" t="n"/>
      <c r="G44" s="75" t="n"/>
      <c r="H44" s="75" t="n"/>
      <c r="I44" s="75" t="n"/>
      <c r="J44" s="75" t="n"/>
      <c r="K44" s="75" t="n"/>
    </row>
    <row r="45" outlineLevel="1" ht="33" customHeight="1" s="443">
      <c r="A45" s="75" t="n"/>
      <c r="B45" s="77" t="inlineStr">
        <is>
          <t xml:space="preserve">Danh sách lưu trữ các tính năng (Product Backlog)
</t>
        </is>
      </c>
      <c r="C45" s="74" t="n">
        <v>45978</v>
      </c>
      <c r="E45" s="75" t="n"/>
      <c r="F45" s="75" t="n"/>
      <c r="G45" s="75" t="n"/>
      <c r="H45" s="75" t="n"/>
      <c r="I45" s="75" t="n"/>
      <c r="J45" s="75" t="n"/>
      <c r="K45" s="75" t="n"/>
    </row>
    <row r="46" outlineLevel="1" ht="33" customHeight="1" s="443">
      <c r="A46" s="75" t="n"/>
      <c r="B46" s="118" t="inlineStr">
        <is>
          <t>Game Concept Document</t>
        </is>
      </c>
      <c r="C46" s="74" t="n">
        <v>46173</v>
      </c>
      <c r="E46" s="75" t="n"/>
      <c r="F46" s="75" t="n"/>
      <c r="G46" s="75" t="n"/>
      <c r="H46" s="75" t="n"/>
      <c r="I46" s="75" t="n"/>
      <c r="J46" s="75" t="n"/>
      <c r="K46" s="75" t="n"/>
    </row>
    <row r="47" outlineLevel="1" ht="33" customHeight="1" s="443">
      <c r="A47" s="75" t="n"/>
      <c r="B47" s="118" t="inlineStr">
        <is>
          <t>Game Design Document</t>
        </is>
      </c>
      <c r="C47" s="74" t="n">
        <v>46173</v>
      </c>
      <c r="E47" s="75" t="n"/>
      <c r="F47" s="75" t="n"/>
      <c r="G47" s="75" t="n"/>
      <c r="H47" s="75" t="n"/>
      <c r="I47" s="75" t="n"/>
      <c r="J47" s="75" t="n"/>
      <c r="K47" s="75" t="n"/>
    </row>
    <row r="48" outlineLevel="1" ht="33" customHeight="1" s="443">
      <c r="A48" s="75" t="n"/>
      <c r="B48" s="118" t="inlineStr">
        <is>
          <t>Game Asset List</t>
        </is>
      </c>
      <c r="C48" s="74" t="n">
        <v>46173</v>
      </c>
      <c r="E48" s="75" t="n"/>
      <c r="F48" s="75" t="n"/>
      <c r="G48" s="75" t="n"/>
      <c r="H48" s="75" t="n"/>
      <c r="I48" s="75" t="n"/>
      <c r="J48" s="75" t="n"/>
      <c r="K48" s="75" t="n"/>
    </row>
    <row r="49" outlineLevel="1" ht="33" customHeight="1" s="443">
      <c r="A49" s="75" t="n"/>
      <c r="B49" s="118" t="inlineStr">
        <is>
          <t>Sound Design Document</t>
        </is>
      </c>
      <c r="C49" s="74" t="n">
        <v>46173</v>
      </c>
      <c r="E49" s="75" t="n"/>
      <c r="F49" s="75" t="n"/>
      <c r="G49" s="75" t="n"/>
      <c r="H49" s="75" t="n"/>
      <c r="I49" s="75" t="n"/>
      <c r="J49" s="75" t="n"/>
      <c r="K49" s="75" t="n"/>
    </row>
    <row r="50" outlineLevel="1" ht="33" customHeight="1" s="443">
      <c r="A50" s="75" t="n"/>
      <c r="B50" s="118" t="inlineStr">
        <is>
          <t>Localization text</t>
        </is>
      </c>
      <c r="C50" s="74" t="n">
        <v>46173</v>
      </c>
      <c r="E50" s="75" t="n"/>
      <c r="F50" s="75" t="n"/>
      <c r="G50" s="75" t="n"/>
      <c r="H50" s="75" t="n"/>
      <c r="I50" s="75" t="n"/>
      <c r="J50" s="75" t="n"/>
      <c r="K50" s="75" t="n"/>
    </row>
    <row r="51" outlineLevel="1" ht="33" customHeight="1" s="443">
      <c r="A51" s="75" t="n"/>
      <c r="B51" s="118" t="inlineStr">
        <is>
          <t>Game Tracking Document</t>
        </is>
      </c>
      <c r="C51" s="74" t="n">
        <v>46173</v>
      </c>
      <c r="E51" s="75" t="n"/>
      <c r="F51" s="75" t="n"/>
      <c r="G51" s="75" t="n"/>
      <c r="H51" s="75" t="n"/>
      <c r="I51" s="75" t="n"/>
      <c r="J51" s="75" t="n"/>
      <c r="K51" s="75" t="n"/>
    </row>
    <row r="52" outlineLevel="1" ht="33" customHeight="1" s="443">
      <c r="A52" s="75" t="n"/>
      <c r="B52" s="118" t="inlineStr">
        <is>
          <t>Game Balance Document</t>
        </is>
      </c>
      <c r="C52" s="74" t="n">
        <v>46173</v>
      </c>
      <c r="E52" s="75" t="n"/>
      <c r="F52" s="75" t="n"/>
      <c r="G52" s="75" t="n"/>
      <c r="H52" s="75" t="n"/>
      <c r="I52" s="75" t="n"/>
      <c r="J52" s="75" t="n"/>
      <c r="K52" s="75" t="n"/>
    </row>
    <row r="53" outlineLevel="1" ht="33" customHeight="1" s="443">
      <c r="A53" s="75" t="n"/>
      <c r="B53" s="77" t="inlineStr">
        <is>
          <t>Tàu liệu đặc tả yêu cầu CMS (SRS)</t>
        </is>
      </c>
      <c r="C53" s="74" t="n">
        <v>46173</v>
      </c>
      <c r="E53" s="75" t="n"/>
      <c r="F53" s="75" t="n"/>
      <c r="G53" s="75" t="n"/>
      <c r="H53" s="75" t="n"/>
      <c r="I53" s="75" t="n"/>
      <c r="J53" s="75" t="n"/>
      <c r="K53" s="75" t="n"/>
    </row>
    <row r="54" outlineLevel="1" ht="33" customHeight="1" s="443">
      <c r="A54" s="75" t="n"/>
      <c r="B54" s="77" t="inlineStr">
        <is>
          <t>Tài liệu thiết kế giao diện</t>
        </is>
      </c>
      <c r="C54" s="74" t="n">
        <v>46173</v>
      </c>
      <c r="E54" s="75" t="n"/>
      <c r="F54" s="75" t="n"/>
      <c r="G54" s="75" t="n"/>
      <c r="H54" s="75" t="n"/>
      <c r="I54" s="75" t="n"/>
      <c r="J54" s="75" t="n"/>
      <c r="K54" s="75" t="n"/>
    </row>
    <row r="55" outlineLevel="1" ht="33" customHeight="1" s="443">
      <c r="A55" s="75" t="n"/>
      <c r="B55" s="77" t="inlineStr">
        <is>
          <t>Tài liệu thiết kế kiến trúc</t>
        </is>
      </c>
      <c r="C55" s="74" t="n">
        <v>46173</v>
      </c>
      <c r="E55" s="75" t="n"/>
      <c r="F55" s="75" t="n"/>
      <c r="G55" s="75" t="n"/>
      <c r="H55" s="75" t="n"/>
      <c r="I55" s="75" t="n"/>
      <c r="J55" s="75" t="n"/>
      <c r="K55" s="75" t="n"/>
    </row>
    <row r="56" outlineLevel="1" ht="33" customHeight="1" s="443">
      <c r="A56" s="75" t="n"/>
      <c r="B56" s="77" t="inlineStr">
        <is>
          <t>Tài liệu thiết kế cơ sở dữ liệu</t>
        </is>
      </c>
      <c r="C56" s="74" t="n">
        <v>46173</v>
      </c>
      <c r="E56" s="75" t="n"/>
      <c r="F56" s="75" t="n"/>
      <c r="G56" s="75" t="n"/>
      <c r="H56" s="75" t="n"/>
      <c r="I56" s="75" t="n"/>
      <c r="J56" s="75" t="n"/>
      <c r="K56" s="75" t="n"/>
    </row>
    <row r="57" outlineLevel="1" ht="33" customHeight="1" s="443">
      <c r="A57" s="75" t="n"/>
      <c r="B57" s="77" t="inlineStr">
        <is>
          <t>Tài liệu source code</t>
        </is>
      </c>
      <c r="C57" s="74" t="n">
        <v>46173</v>
      </c>
      <c r="E57" s="75" t="n"/>
      <c r="F57" s="75" t="n"/>
      <c r="G57" s="75" t="n"/>
      <c r="H57" s="75" t="n"/>
      <c r="I57" s="75" t="n"/>
      <c r="J57" s="75" t="n"/>
      <c r="K57" s="75" t="n"/>
    </row>
    <row r="58" outlineLevel="1" ht="33" customHeight="1" s="443">
      <c r="A58" s="75" t="n"/>
      <c r="B58" s="77" t="inlineStr">
        <is>
          <t>Tài liệu kiểm thử hệ thống (Test Plan/ Test Case/ Test Report)</t>
        </is>
      </c>
      <c r="C58" s="74" t="n">
        <v>46173</v>
      </c>
      <c r="E58" s="75" t="n"/>
      <c r="F58" s="75" t="n"/>
      <c r="G58" s="75" t="n"/>
      <c r="H58" s="75" t="n"/>
      <c r="I58" s="75" t="n"/>
      <c r="J58" s="75" t="n"/>
      <c r="K58" s="75" t="n"/>
    </row>
    <row r="59" outlineLevel="1" ht="33" customHeight="1" s="443">
      <c r="A59" s="75" t="n"/>
      <c r="B59" s="77" t="inlineStr">
        <is>
          <t>Kế hoạch triển khai (Deployment Plan)</t>
        </is>
      </c>
      <c r="C59" s="74" t="n">
        <v>46173</v>
      </c>
      <c r="E59" s="75" t="n"/>
      <c r="F59" s="75" t="n"/>
      <c r="G59" s="75" t="n"/>
      <c r="H59" s="75" t="n"/>
      <c r="I59" s="75" t="n"/>
      <c r="J59" s="75" t="n"/>
      <c r="K59" s="75" t="n"/>
    </row>
    <row r="60" outlineLevel="1" ht="33" customHeight="1" s="443">
      <c r="A60" s="75" t="n"/>
      <c r="B60" s="77" t="inlineStr">
        <is>
          <t>Tài liệu hướng dẫn sử dụng</t>
        </is>
      </c>
      <c r="C60" s="74" t="n">
        <v>46173</v>
      </c>
      <c r="E60" s="75" t="n"/>
      <c r="F60" s="75" t="n"/>
      <c r="G60" s="75" t="n"/>
      <c r="H60" s="75" t="n"/>
      <c r="I60" s="75" t="n"/>
      <c r="J60" s="75" t="n"/>
      <c r="K60" s="75" t="n"/>
    </row>
    <row r="61" outlineLevel="1" ht="33" customHeight="1" s="443">
      <c r="A61" s="75" t="n"/>
      <c r="B61" s="77" t="inlineStr">
        <is>
          <t>Kế hoạch và kịch bản UAT</t>
        </is>
      </c>
      <c r="C61" s="74" t="n">
        <v>46173</v>
      </c>
      <c r="E61" s="75" t="n"/>
      <c r="F61" s="75" t="n"/>
      <c r="G61" s="75" t="n"/>
      <c r="H61" s="75" t="n"/>
      <c r="I61" s="75" t="n"/>
      <c r="J61" s="75" t="n"/>
      <c r="K61" s="75" t="n"/>
    </row>
    <row r="62" outlineLevel="1" ht="33" customHeight="1" s="443">
      <c r="A62" s="75" t="n"/>
      <c r="B62" s="77" t="inlineStr">
        <is>
          <t>Biên bản xác nhận hoàn thành công việc</t>
        </is>
      </c>
      <c r="C62" s="74" t="n">
        <v>46173</v>
      </c>
      <c r="E62" s="75" t="n"/>
      <c r="F62" s="75" t="n"/>
      <c r="G62" s="75" t="n"/>
      <c r="H62" s="75" t="n"/>
      <c r="I62" s="75" t="n"/>
      <c r="J62" s="75" t="n"/>
      <c r="K62" s="75" t="n"/>
    </row>
    <row r="63" outlineLevel="1" ht="33" customHeight="1" s="443">
      <c r="A63" s="75" t="n"/>
      <c r="B63" s="77" t="inlineStr">
        <is>
          <t>Kế hoạch release MVP Phase</t>
        </is>
      </c>
      <c r="C63" s="74" t="n">
        <v>46173</v>
      </c>
      <c r="E63" s="75" t="n"/>
      <c r="F63" s="75" t="n"/>
      <c r="G63" s="75" t="n"/>
      <c r="H63" s="75" t="n"/>
      <c r="I63" s="75" t="n"/>
      <c r="J63" s="75" t="n"/>
      <c r="K63" s="75" t="n"/>
    </row>
    <row r="64" outlineLevel="1" ht="33" customHeight="1" s="443">
      <c r="A64" s="75" t="n"/>
      <c r="B64" s="77" t="inlineStr">
        <is>
          <t>Thông báo phát hành</t>
        </is>
      </c>
      <c r="C64" s="74" t="n">
        <v>46173</v>
      </c>
      <c r="E64" s="75" t="n"/>
      <c r="F64" s="75" t="n"/>
      <c r="G64" s="75" t="n"/>
      <c r="H64" s="75" t="n"/>
      <c r="I64" s="75" t="n"/>
      <c r="J64" s="75" t="n"/>
      <c r="K64" s="75" t="n"/>
    </row>
    <row r="65" outlineLevel="1" ht="33" customHeight="1" s="443">
      <c r="A65" s="75" t="n"/>
      <c r="B65" s="75" t="n"/>
      <c r="C65" s="75" t="n"/>
      <c r="D65" s="75" t="n"/>
      <c r="E65" s="75" t="n"/>
      <c r="F65" s="75" t="n"/>
      <c r="G65" s="75" t="n"/>
      <c r="H65" s="75" t="n"/>
      <c r="I65" s="75" t="n"/>
      <c r="J65" s="75" t="n"/>
      <c r="K65" s="75" t="n"/>
    </row>
    <row r="66" ht="21" customHeight="1" s="443">
      <c r="A66" s="454" t="inlineStr">
        <is>
          <t>V. Truyền thông dự án/ Project Communication</t>
        </is>
      </c>
      <c r="H66" s="75" t="n"/>
      <c r="I66" s="75" t="n"/>
      <c r="J66" s="75" t="n"/>
      <c r="K66" s="75" t="n"/>
    </row>
    <row r="67" outlineLevel="1" ht="33" customHeight="1" s="443">
      <c r="A67" s="79" t="inlineStr">
        <is>
          <t>1. Họp/ Meeting</t>
        </is>
      </c>
      <c r="B67" s="80" t="n"/>
      <c r="C67" s="80" t="n"/>
      <c r="D67" s="80" t="n"/>
      <c r="E67" s="80" t="n"/>
      <c r="F67" s="80" t="n"/>
      <c r="G67" s="80" t="n"/>
      <c r="H67" s="80" t="n"/>
      <c r="I67" s="57" t="n"/>
      <c r="J67" s="57" t="n"/>
      <c r="K67" s="57" t="n"/>
    </row>
    <row r="68" outlineLevel="1" ht="58.5" customHeight="1" s="443">
      <c r="A68" s="66" t="inlineStr">
        <is>
          <t>Trong giai đoạn MVP, dự án duy trì họp daily (15 phút) và họp giải quyết vấn đề tổ chức hàng tuần (1 giờ), do Project Manager điều phối cùng các bên liên quan để xử lý các vướng mắc. Họp quản trị dự án cũng diễn ra hàng tuần (1 giờ), do Project Director chủ trì, tập trung vào theo dõi tiến độ và phối hợp giữa onsite và offshore.</t>
        </is>
      </c>
      <c r="H68" s="80" t="n"/>
      <c r="I68" s="57" t="n"/>
      <c r="J68" s="57" t="n"/>
      <c r="K68" s="57" t="n"/>
    </row>
    <row r="69" outlineLevel="1" ht="33" customHeight="1" s="443">
      <c r="A69" s="79" t="inlineStr">
        <is>
          <t>2. Email</t>
        </is>
      </c>
      <c r="B69" s="80" t="n"/>
      <c r="C69" s="80" t="n"/>
      <c r="D69" s="80" t="n"/>
      <c r="E69" s="80" t="n"/>
      <c r="F69" s="80" t="n"/>
      <c r="G69" s="80" t="n"/>
      <c r="H69" s="80" t="n"/>
      <c r="I69" s="57" t="n"/>
      <c r="J69" s="57" t="n"/>
      <c r="K69" s="57" t="n"/>
    </row>
    <row r="70" outlineLevel="1" ht="33" customHeight="1" s="443">
      <c r="A70" s="80" t="inlineStr">
        <is>
          <t>“Quy tắc viết và email”/ "Email sending &amp; wirting rules"</t>
        </is>
      </c>
      <c r="B70" s="80" t="n"/>
      <c r="C70" s="80" t="n"/>
      <c r="D70" s="80" t="n"/>
      <c r="E70" s="80" t="n"/>
      <c r="F70" s="80" t="n"/>
      <c r="G70" s="80" t="n"/>
      <c r="H70" s="80" t="n"/>
      <c r="I70" s="57" t="n"/>
      <c r="J70" s="57" t="n"/>
      <c r="K70" s="57" t="n"/>
    </row>
    <row r="71" outlineLevel="1" ht="33" customHeight="1" s="443">
      <c r="A71" s="80" t="inlineStr">
        <is>
          <t>Gửi email Báo cáo Tiến độ Dự án/ Email for reporting project progress</t>
        </is>
      </c>
      <c r="B71" s="80" t="n"/>
      <c r="C71" s="80" t="n"/>
      <c r="D71" s="80" t="n"/>
      <c r="E71" s="80" t="n"/>
      <c r="F71" s="80" t="n"/>
      <c r="G71" s="80" t="n"/>
      <c r="H71" s="80" t="n"/>
      <c r="I71" s="57" t="n"/>
      <c r="J71" s="57" t="n"/>
      <c r="K71" s="57" t="n"/>
    </row>
    <row r="72" outlineLevel="1" ht="33" customHeight="1" s="443">
      <c r="A72" s="81" t="n"/>
      <c r="B72" s="80" t="n"/>
      <c r="C72" s="80" t="n"/>
      <c r="D72" s="80" t="n"/>
      <c r="E72" s="80" t="n"/>
      <c r="F72" s="80" t="n"/>
      <c r="G72" s="80" t="n"/>
      <c r="H72" s="80" t="n"/>
      <c r="I72" s="57" t="n"/>
      <c r="J72" s="57" t="n"/>
      <c r="K72" s="57" t="n"/>
    </row>
    <row r="73" outlineLevel="1" ht="33" customHeight="1" s="443">
      <c r="A73" s="82" t="inlineStr">
        <is>
          <t>#</t>
        </is>
      </c>
      <c r="B73" s="82" t="inlineStr">
        <is>
          <t>Tên cuộc họp/ Meeting name</t>
        </is>
      </c>
      <c r="C73" s="82" t="inlineStr">
        <is>
          <t>Người chịu trách nhiệm/ PIC</t>
        </is>
      </c>
      <c r="D73" s="82" t="inlineStr">
        <is>
          <t>Thành viên/ Member</t>
        </is>
      </c>
      <c r="E73" s="82" t="inlineStr">
        <is>
          <t>Tần suất / Frequency</t>
        </is>
      </c>
      <c r="F73" s="82" t="inlineStr">
        <is>
          <t>Mô tả/ Description</t>
        </is>
      </c>
      <c r="G73" s="447" t="n"/>
      <c r="H73" s="57" t="n"/>
      <c r="I73" s="84" t="n"/>
      <c r="J73" s="84" t="n"/>
      <c r="K73" s="57" t="n"/>
    </row>
    <row r="74" outlineLevel="1" ht="56.25" customHeight="1" s="443">
      <c r="A74" s="85" t="n">
        <v>1</v>
      </c>
      <c r="B74" s="87" t="inlineStr">
        <is>
          <t>Họp catch up hàng ngày/ Daily meeting</t>
        </is>
      </c>
      <c r="C74" s="87" t="inlineStr">
        <is>
          <t>PjM</t>
        </is>
      </c>
      <c r="D74" s="87" t="inlineStr">
        <is>
          <t>TL, Dev, PjM</t>
        </is>
      </c>
      <c r="E74" s="87" t="inlineStr">
        <is>
          <t>Hàng ngày (15’)/ Daily (15')</t>
        </is>
      </c>
      <c r="F74" s="87" t="inlineStr">
        <is>
          <t>Báo cáo tiến độ công việc và thảo luận giải quyết vấn đề trong cuộc họp/ Project progress report &amp; problem solving discussion</t>
        </is>
      </c>
      <c r="G74" s="447" t="n"/>
      <c r="H74" s="89" t="n"/>
      <c r="I74" s="52" t="n"/>
      <c r="J74" s="52" t="n"/>
      <c r="K74" s="89" t="n"/>
    </row>
    <row r="75" outlineLevel="1" ht="56.25" customHeight="1" s="443">
      <c r="A75" s="85" t="n">
        <v>2</v>
      </c>
      <c r="B75" s="87" t="inlineStr">
        <is>
          <t>Giải quyết vấn đề/ Problem solving</t>
        </is>
      </c>
      <c r="C75" s="87" t="inlineStr">
        <is>
          <t>PjM</t>
        </is>
      </c>
      <c r="D75" s="87" t="inlineStr">
        <is>
          <t>PjM, PdM, PD, TL</t>
        </is>
      </c>
      <c r="E75" s="87" t="inlineStr">
        <is>
          <t>Hàng tuần(1h)/ Weekly (1h)</t>
        </is>
      </c>
      <c r="F75" s="87" t="inlineStr">
        <is>
          <t xml:space="preserve">Báo cáo tiến độ công việc và thảo luận giải quyết vấn đề/ Project progress report &amp; problem solving discussion        </t>
        </is>
      </c>
      <c r="G75" s="447" t="n"/>
      <c r="H75" s="89" t="n"/>
      <c r="I75" s="52" t="n"/>
      <c r="J75" s="52" t="n"/>
      <c r="K75" s="89" t="n"/>
    </row>
    <row r="76">
      <c r="A76" s="85" t="n">
        <v>3</v>
      </c>
      <c r="B76" s="90" t="inlineStr">
        <is>
          <t>Họp quản trị dự án/ Project management meeting</t>
        </is>
      </c>
      <c r="C76" s="90" t="inlineStr">
        <is>
          <t>PD</t>
        </is>
      </c>
      <c r="D76" s="90" t="inlineStr">
        <is>
          <t>PdM, PjM, PD</t>
        </is>
      </c>
      <c r="E76" s="90" t="inlineStr">
        <is>
          <t>Hàng tuần(1h)/ Weekly (1h)</t>
        </is>
      </c>
      <c r="F76" s="87" t="inlineStr">
        <is>
          <t>Họp trực tiếp và ngoài nước thảo luận về tiến độ của dự án/ Onsite &amp; offshore discuss about project progress</t>
        </is>
      </c>
      <c r="G76" s="447" t="n"/>
      <c r="H76" s="63" t="n"/>
      <c r="I76" s="63" t="n"/>
      <c r="J76" s="63" t="n"/>
      <c r="K76" s="63" t="n"/>
    </row>
    <row r="77" ht="33" customHeight="1" s="443">
      <c r="A77" s="75" t="n"/>
      <c r="B77" s="75" t="n"/>
      <c r="C77" s="75" t="n"/>
      <c r="D77" s="75" t="n"/>
      <c r="E77" s="75" t="n"/>
      <c r="F77" s="75" t="n"/>
      <c r="G77" s="75" t="n"/>
      <c r="H77" s="75" t="n"/>
      <c r="I77" s="75" t="n"/>
      <c r="J77" s="75" t="n"/>
      <c r="K77" s="75" t="n"/>
    </row>
    <row r="78" ht="33" customHeight="1" s="443">
      <c r="A78" s="75" t="n"/>
      <c r="B78" s="75" t="n"/>
      <c r="C78" s="75" t="n"/>
      <c r="D78" s="75" t="n"/>
      <c r="E78" s="75" t="n"/>
      <c r="F78" s="75" t="n"/>
      <c r="G78" s="75" t="n"/>
      <c r="H78" s="75" t="n"/>
      <c r="I78" s="75" t="n"/>
      <c r="J78" s="75" t="n"/>
      <c r="K78" s="75" t="n"/>
    </row>
    <row r="79" ht="33" customHeight="1" s="443">
      <c r="A79" s="75" t="n"/>
      <c r="B79" s="75" t="n"/>
      <c r="C79" s="75" t="n"/>
      <c r="D79" s="75" t="n"/>
      <c r="E79" s="75" t="n"/>
      <c r="F79" s="75" t="n"/>
      <c r="G79" s="75" t="n"/>
      <c r="H79" s="75" t="n"/>
      <c r="I79" s="75" t="n"/>
      <c r="J79" s="75" t="n"/>
      <c r="K79" s="75" t="n"/>
    </row>
  </sheetData>
  <mergeCells count="38">
    <mergeCell ref="A32:G32"/>
    <mergeCell ref="B2:G2"/>
    <mergeCell ref="F73:G73"/>
    <mergeCell ref="C6:G6"/>
    <mergeCell ref="C15:G15"/>
    <mergeCell ref="B23:G23"/>
    <mergeCell ref="A4:G4"/>
    <mergeCell ref="A35:G35"/>
    <mergeCell ref="A38:G38"/>
    <mergeCell ref="C14:G14"/>
    <mergeCell ref="A68:G68"/>
    <mergeCell ref="F74:G74"/>
    <mergeCell ref="B29:G29"/>
    <mergeCell ref="B28:D28"/>
    <mergeCell ref="A40:G40"/>
    <mergeCell ref="C10:G10"/>
    <mergeCell ref="C16:G16"/>
    <mergeCell ref="A39:G39"/>
    <mergeCell ref="A34:G34"/>
    <mergeCell ref="F76:G76"/>
    <mergeCell ref="C9:G9"/>
    <mergeCell ref="B33:G33"/>
    <mergeCell ref="B24:G24"/>
    <mergeCell ref="A36:G36"/>
    <mergeCell ref="F75:G75"/>
    <mergeCell ref="C12:G12"/>
    <mergeCell ref="C11:G11"/>
    <mergeCell ref="B26:G26"/>
    <mergeCell ref="C8:G8"/>
    <mergeCell ref="C17:G17"/>
    <mergeCell ref="A37:G37"/>
    <mergeCell ref="A66:G66"/>
    <mergeCell ref="C7:G7"/>
    <mergeCell ref="A21:G21"/>
    <mergeCell ref="B27:G27"/>
    <mergeCell ref="C19:G19"/>
    <mergeCell ref="C13:G13"/>
    <mergeCell ref="C18:G18"/>
  </mergeCells>
  <pageMargins left="0.7" right="0.7" top="0.75" bottom="0.75" header="0" footer="0"/>
  <pageSetup orientation="landscape" fitToHeight="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AZ88"/>
  <sheetViews>
    <sheetView showGridLines="0" workbookViewId="0">
      <pane ySplit="6" topLeftCell="A7" activePane="bottomLeft" state="frozen"/>
      <selection pane="bottomLeft" activeCell="B8" sqref="B8"/>
    </sheetView>
  </sheetViews>
  <sheetFormatPr baseColWidth="8" defaultColWidth="12.63" defaultRowHeight="15" customHeight="1"/>
  <cols>
    <col width="15" customWidth="1" style="443" min="1" max="1"/>
    <col width="60" customWidth="1" style="443" min="2" max="2"/>
    <col width="15" customWidth="1" style="443" min="3" max="3"/>
    <col width="15" customWidth="1" style="443" min="4" max="4"/>
    <col width="3.88" customWidth="1" style="443" min="5" max="7"/>
    <col width="3.75" customWidth="1" style="443" min="8" max="8"/>
    <col width="3.88" customWidth="1" style="443" min="9" max="12"/>
    <col width="4.88" customWidth="1" style="443" min="13" max="18"/>
    <col width="4.63" customWidth="1" style="443" min="19" max="19"/>
    <col width="4.38" customWidth="1" style="443" min="20" max="20"/>
    <col width="4.63" customWidth="1" style="443" min="21" max="21"/>
    <col width="3.63" customWidth="1" style="443" min="22" max="22"/>
    <col width="4.88" customWidth="1" style="443" min="23" max="38"/>
    <col hidden="1" width="4.88" customWidth="1" style="443" min="39" max="52"/>
  </cols>
  <sheetData>
    <row r="1" ht="7.5" customHeight="1" s="443">
      <c r="A1" s="91" t="n"/>
      <c r="B1" s="91" t="n"/>
      <c r="C1" s="91" t="n"/>
      <c r="D1" s="91" t="n"/>
      <c r="E1" s="91" t="n"/>
      <c r="F1" s="91" t="n"/>
      <c r="G1" s="91" t="n"/>
      <c r="H1" s="91" t="n"/>
      <c r="I1" s="91" t="n"/>
      <c r="J1" s="92" t="n"/>
      <c r="K1" s="92" t="n"/>
      <c r="L1" s="91" t="n"/>
      <c r="M1" s="91" t="n"/>
      <c r="N1" s="92" t="n"/>
      <c r="O1" s="92" t="n"/>
      <c r="P1" s="91" t="n"/>
      <c r="Q1" s="91" t="n"/>
      <c r="R1" s="92" t="n"/>
      <c r="S1" s="92" t="n"/>
      <c r="T1" s="91" t="n"/>
      <c r="U1" s="91" t="n"/>
      <c r="V1" s="92" t="n"/>
      <c r="W1" s="92" t="n"/>
      <c r="X1" s="93" t="n"/>
      <c r="Y1" s="93" t="n"/>
      <c r="Z1" s="93" t="n"/>
      <c r="AA1" s="93" t="n"/>
      <c r="AB1" s="93" t="n"/>
      <c r="AC1" s="93" t="n"/>
      <c r="AD1" s="93" t="n"/>
      <c r="AE1" s="93" t="n"/>
      <c r="AF1" s="93" t="n"/>
      <c r="AG1" s="93" t="n"/>
      <c r="AH1" s="93" t="n"/>
      <c r="AI1" s="93" t="n"/>
      <c r="AJ1" s="94" t="n"/>
      <c r="AK1" s="93" t="n"/>
      <c r="AL1" s="93" t="n"/>
      <c r="AM1" s="93" t="n"/>
      <c r="AN1" s="93" t="n"/>
      <c r="AO1" s="93" t="n"/>
      <c r="AP1" s="93" t="n"/>
      <c r="AQ1" s="93" t="n"/>
      <c r="AR1" s="93" t="n"/>
      <c r="AS1" s="93" t="n"/>
      <c r="AT1" s="93" t="n"/>
      <c r="AU1" s="93" t="n"/>
      <c r="AV1" s="93" t="n"/>
      <c r="AW1" s="93" t="n"/>
      <c r="AX1" s="93" t="n"/>
      <c r="AY1" s="93" t="n"/>
      <c r="AZ1" s="93" t="n"/>
    </row>
    <row r="2" hidden="1" ht="51" customHeight="1" s="443">
      <c r="A2" s="95" t="n"/>
      <c r="B2" s="456" t="inlineStr">
        <is>
          <t>KẾ HOẠCH TỔNG THỂ/ MASTER SCHEDULE</t>
        </is>
      </c>
      <c r="C2" s="444" t="n"/>
      <c r="D2" s="444" t="n"/>
      <c r="E2" s="444" t="n"/>
      <c r="F2" s="444" t="n"/>
      <c r="G2" s="444" t="n"/>
      <c r="H2" s="444" t="n"/>
      <c r="I2" s="444" t="n"/>
      <c r="J2" s="444" t="n"/>
      <c r="K2" s="444" t="n"/>
      <c r="L2" s="444" t="n"/>
      <c r="M2" s="444" t="n"/>
      <c r="N2" s="444" t="n"/>
      <c r="O2" s="444" t="n"/>
      <c r="P2" s="444" t="n"/>
      <c r="Q2" s="444" t="n"/>
      <c r="R2" s="444" t="n"/>
      <c r="S2" s="42">
        <f>ROC!F2</f>
        <v/>
      </c>
      <c r="T2" s="444" t="n"/>
      <c r="U2" s="444" t="n"/>
      <c r="V2" s="444" t="n"/>
      <c r="W2" s="444" t="n"/>
      <c r="X2" s="444" t="n"/>
      <c r="Y2" s="444" t="n"/>
      <c r="Z2" s="444" t="n"/>
      <c r="AA2" s="444" t="n"/>
      <c r="AB2" s="444" t="n"/>
      <c r="AC2" s="444" t="n"/>
      <c r="AD2" s="444" t="n"/>
      <c r="AE2" s="444" t="n"/>
      <c r="AF2" s="444" t="n"/>
      <c r="AG2" s="444" t="n"/>
      <c r="AH2" s="444" t="n"/>
      <c r="AI2" s="444" t="n"/>
      <c r="AJ2" s="99" t="n"/>
      <c r="AK2" s="100" t="n"/>
      <c r="AL2" s="100" t="n"/>
      <c r="AM2" s="100" t="n"/>
      <c r="AN2" s="100" t="n"/>
      <c r="AO2" s="100" t="n"/>
      <c r="AP2" s="100" t="n"/>
      <c r="AQ2" s="100" t="n"/>
      <c r="AR2" s="100" t="n"/>
      <c r="AS2" s="100" t="n"/>
      <c r="AT2" s="100" t="n"/>
      <c r="AU2" s="100" t="n"/>
      <c r="AV2" s="100" t="n"/>
      <c r="AW2" s="100" t="n"/>
      <c r="AX2" s="100" t="n"/>
      <c r="AY2" s="100" t="n"/>
      <c r="AZ2" s="100" t="n"/>
    </row>
    <row r="3" ht="32.25" customHeight="1" s="443">
      <c r="A3" s="101" t="n"/>
      <c r="B3" s="91" t="n"/>
      <c r="C3" s="91" t="n"/>
      <c r="D3" s="91" t="n"/>
      <c r="E3" s="91" t="n"/>
      <c r="F3" s="91" t="n"/>
      <c r="G3" s="91" t="n"/>
      <c r="H3" s="91" t="n"/>
      <c r="I3" s="91" t="n"/>
      <c r="J3" s="92" t="n"/>
      <c r="K3" s="92" t="n"/>
      <c r="L3" s="91" t="n"/>
      <c r="M3" s="91" t="n"/>
      <c r="N3" s="92" t="n"/>
      <c r="O3" s="92" t="n"/>
      <c r="P3" s="91" t="n"/>
      <c r="Q3" s="91" t="n"/>
      <c r="R3" s="92" t="n"/>
      <c r="S3" s="92" t="n"/>
      <c r="T3" s="91" t="n"/>
      <c r="U3" s="91" t="n"/>
      <c r="V3" s="92" t="n"/>
      <c r="W3" s="92" t="n"/>
      <c r="X3" s="93" t="n"/>
      <c r="Y3" s="93" t="n"/>
      <c r="Z3" s="93" t="n"/>
      <c r="AA3" s="93" t="n"/>
      <c r="AB3" s="93" t="n"/>
      <c r="AC3" s="93" t="n"/>
      <c r="AD3" s="93" t="n"/>
      <c r="AE3" s="93" t="n"/>
      <c r="AF3" s="93" t="n"/>
      <c r="AG3" s="93" t="n"/>
      <c r="AH3" s="93" t="n"/>
      <c r="AI3" s="93" t="n"/>
      <c r="AJ3" s="94" t="n"/>
      <c r="AK3" s="93" t="n"/>
      <c r="AL3" s="93" t="n"/>
      <c r="AM3" s="93" t="n"/>
      <c r="AN3" s="93" t="n"/>
      <c r="AO3" s="93" t="n"/>
      <c r="AP3" s="93" t="n"/>
      <c r="AQ3" s="93" t="n"/>
      <c r="AR3" s="93" t="n"/>
      <c r="AS3" s="93" t="n"/>
      <c r="AT3" s="93" t="n"/>
      <c r="AU3" s="93" t="n"/>
      <c r="AV3" s="93" t="n"/>
      <c r="AW3" s="93" t="n"/>
      <c r="AX3" s="93" t="n"/>
      <c r="AY3" s="93" t="n"/>
      <c r="AZ3" s="93" t="n"/>
    </row>
    <row r="4" ht="21.75" customHeight="1" s="443">
      <c r="A4" s="102" t="n"/>
      <c r="B4" s="103" t="n"/>
      <c r="C4" s="103" t="n"/>
      <c r="D4" s="104" t="n"/>
      <c r="E4" s="109" t="inlineStr">
        <is>
          <t>M10/25</t>
        </is>
      </c>
      <c r="F4" s="446" t="n"/>
      <c r="G4" s="447" t="n"/>
      <c r="H4" s="457" t="inlineStr">
        <is>
          <t>M11/25</t>
        </is>
      </c>
      <c r="I4" s="446" t="n"/>
      <c r="J4" s="446" t="n"/>
      <c r="K4" s="447" t="n"/>
      <c r="L4" s="106" t="inlineStr">
        <is>
          <t>M12/25</t>
        </is>
      </c>
      <c r="M4" s="446" t="n"/>
      <c r="N4" s="446" t="n"/>
      <c r="O4" s="446" t="n"/>
      <c r="P4" s="106" t="n"/>
      <c r="Q4" s="105" t="inlineStr">
        <is>
          <t>M1/26</t>
        </is>
      </c>
      <c r="R4" s="446" t="n"/>
      <c r="S4" s="446" t="n"/>
      <c r="T4" s="446" t="n"/>
      <c r="U4" s="105" t="inlineStr">
        <is>
          <t>M2/26</t>
        </is>
      </c>
      <c r="V4" s="446" t="n"/>
      <c r="W4" s="446" t="n"/>
      <c r="X4" s="446" t="n"/>
      <c r="Y4" s="105" t="inlineStr">
        <is>
          <t>M3/26</t>
        </is>
      </c>
      <c r="Z4" s="446" t="n"/>
      <c r="AA4" s="446" t="n"/>
      <c r="AB4" s="446" t="n"/>
      <c r="AC4" s="446" t="n"/>
      <c r="AD4" s="105" t="inlineStr">
        <is>
          <t>M4/26</t>
        </is>
      </c>
      <c r="AE4" s="446" t="n"/>
      <c r="AF4" s="446" t="n"/>
      <c r="AG4" s="446" t="n"/>
      <c r="AH4" s="105" t="inlineStr">
        <is>
          <t>M5/26</t>
        </is>
      </c>
      <c r="AI4" s="446" t="n"/>
      <c r="AJ4" s="446" t="n"/>
      <c r="AK4" s="446" t="n"/>
      <c r="AL4" s="105" t="inlineStr">
        <is>
          <t>M6/26</t>
        </is>
      </c>
      <c r="AM4" s="107" t="n"/>
      <c r="AN4" s="107" t="n"/>
      <c r="AO4" s="107" t="n"/>
      <c r="AP4" s="107" t="n"/>
      <c r="AQ4" s="107" t="n"/>
      <c r="AR4" s="107" t="n"/>
      <c r="AS4" s="107" t="n"/>
      <c r="AT4" s="107" t="n"/>
      <c r="AU4" s="107" t="n"/>
      <c r="AV4" s="107" t="n"/>
      <c r="AW4" s="107" t="n"/>
      <c r="AX4" s="107" t="n"/>
      <c r="AY4" s="107" t="n"/>
      <c r="AZ4" s="107" t="n"/>
    </row>
    <row r="5" ht="30" customHeight="1" s="443">
      <c r="A5" s="109" t="inlineStr">
        <is>
          <t>#</t>
        </is>
      </c>
      <c r="B5" s="109" t="inlineStr">
        <is>
          <t>Epic</t>
        </is>
      </c>
      <c r="C5" s="109" t="inlineStr">
        <is>
          <t>Start Date</t>
        </is>
      </c>
      <c r="D5" s="109" t="inlineStr">
        <is>
          <t>End Date</t>
        </is>
      </c>
      <c r="E5" s="110" t="inlineStr">
        <is>
          <t>W1</t>
        </is>
      </c>
      <c r="F5" s="110" t="inlineStr">
        <is>
          <t>W2</t>
        </is>
      </c>
      <c r="G5" s="110" t="inlineStr">
        <is>
          <t>W3</t>
        </is>
      </c>
      <c r="H5" s="110" t="inlineStr">
        <is>
          <t>W4</t>
        </is>
      </c>
      <c r="I5" s="110" t="inlineStr">
        <is>
          <t>W5</t>
        </is>
      </c>
      <c r="J5" s="110" t="inlineStr">
        <is>
          <t>W6</t>
        </is>
      </c>
      <c r="K5" s="110" t="inlineStr">
        <is>
          <t>W7</t>
        </is>
      </c>
      <c r="L5" s="110" t="inlineStr">
        <is>
          <t>W8</t>
        </is>
      </c>
      <c r="M5" s="110" t="inlineStr">
        <is>
          <t>W9</t>
        </is>
      </c>
      <c r="N5" s="110" t="inlineStr">
        <is>
          <t>W10</t>
        </is>
      </c>
      <c r="O5" s="110" t="inlineStr">
        <is>
          <t>W11</t>
        </is>
      </c>
      <c r="P5" s="110" t="inlineStr">
        <is>
          <t>W12</t>
        </is>
      </c>
      <c r="Q5" s="110" t="inlineStr">
        <is>
          <t>W13</t>
        </is>
      </c>
      <c r="R5" s="110" t="inlineStr">
        <is>
          <t>W14</t>
        </is>
      </c>
      <c r="S5" s="110" t="inlineStr">
        <is>
          <t>W15</t>
        </is>
      </c>
      <c r="T5" s="110" t="inlineStr">
        <is>
          <t>W16</t>
        </is>
      </c>
      <c r="U5" s="110" t="inlineStr">
        <is>
          <t>W17</t>
        </is>
      </c>
      <c r="V5" s="110" t="inlineStr">
        <is>
          <t>W18</t>
        </is>
      </c>
      <c r="W5" s="110" t="inlineStr">
        <is>
          <t>W19</t>
        </is>
      </c>
      <c r="X5" s="110" t="inlineStr">
        <is>
          <t>W20</t>
        </is>
      </c>
      <c r="Y5" s="110" t="inlineStr">
        <is>
          <t>W21</t>
        </is>
      </c>
      <c r="Z5" s="110" t="inlineStr">
        <is>
          <t>W22</t>
        </is>
      </c>
      <c r="AA5" s="110" t="inlineStr">
        <is>
          <t>W23</t>
        </is>
      </c>
      <c r="AB5" s="110" t="inlineStr">
        <is>
          <t>W24</t>
        </is>
      </c>
      <c r="AC5" s="110" t="inlineStr">
        <is>
          <t>W25</t>
        </is>
      </c>
      <c r="AD5" s="110" t="inlineStr">
        <is>
          <t>W26</t>
        </is>
      </c>
      <c r="AE5" s="110" t="inlineStr">
        <is>
          <t>W27</t>
        </is>
      </c>
      <c r="AF5" s="110" t="inlineStr">
        <is>
          <t>W28</t>
        </is>
      </c>
      <c r="AG5" s="110" t="inlineStr">
        <is>
          <t>W29</t>
        </is>
      </c>
      <c r="AH5" s="110" t="inlineStr">
        <is>
          <t>W30</t>
        </is>
      </c>
      <c r="AI5" s="110" t="inlineStr">
        <is>
          <t>W31</t>
        </is>
      </c>
      <c r="AJ5" s="110" t="inlineStr">
        <is>
          <t>W32</t>
        </is>
      </c>
      <c r="AK5" s="110" t="inlineStr">
        <is>
          <t>W33</t>
        </is>
      </c>
      <c r="AL5" s="110" t="inlineStr">
        <is>
          <t>W34</t>
        </is>
      </c>
      <c r="AM5" s="111" t="n"/>
      <c r="AN5" s="111" t="n"/>
      <c r="AO5" s="111" t="n"/>
      <c r="AP5" s="111" t="n"/>
      <c r="AQ5" s="111" t="n"/>
      <c r="AR5" s="111" t="n"/>
      <c r="AS5" s="111" t="n"/>
      <c r="AT5" s="111" t="n"/>
      <c r="AU5" s="111" t="n"/>
      <c r="AV5" s="111" t="n"/>
      <c r="AW5" s="111" t="n"/>
      <c r="AX5" s="111" t="n"/>
      <c r="AY5" s="111" t="n"/>
      <c r="AZ5" s="111" t="n"/>
    </row>
    <row r="6" ht="67.5" customHeight="1" s="443">
      <c r="A6" s="109" t="n"/>
      <c r="B6" s="109" t="n"/>
      <c r="C6" s="105" t="n"/>
      <c r="D6" s="105" t="n"/>
      <c r="E6" s="112">
        <f t="array" ref="E6:AP6">DATE(2025,10,6) + (COLUMN(B1:AM1)-1)*7
</f>
        <v/>
      </c>
      <c r="F6" s="112" t="n">
        <v>45950</v>
      </c>
      <c r="G6" s="112" t="n">
        <v>45957</v>
      </c>
      <c r="H6" s="112" t="n">
        <v>45964</v>
      </c>
      <c r="I6" s="112" t="n">
        <v>45971</v>
      </c>
      <c r="J6" s="112" t="n">
        <v>45978</v>
      </c>
      <c r="K6" s="112" t="n">
        <v>45985</v>
      </c>
      <c r="L6" s="112" t="n">
        <v>45992</v>
      </c>
      <c r="M6" s="112" t="n">
        <v>45999</v>
      </c>
      <c r="N6" s="112" t="n">
        <v>46006</v>
      </c>
      <c r="O6" s="112" t="n">
        <v>46013</v>
      </c>
      <c r="P6" s="112" t="n">
        <v>46020</v>
      </c>
      <c r="Q6" s="112" t="n">
        <v>46027</v>
      </c>
      <c r="R6" s="112" t="n">
        <v>46034</v>
      </c>
      <c r="S6" s="112" t="n">
        <v>46041</v>
      </c>
      <c r="T6" s="112" t="n">
        <v>46048</v>
      </c>
      <c r="U6" s="112" t="n">
        <v>46055</v>
      </c>
      <c r="V6" s="112" t="n">
        <v>46062</v>
      </c>
      <c r="W6" s="112" t="n">
        <v>46069</v>
      </c>
      <c r="X6" s="112" t="n">
        <v>46076</v>
      </c>
      <c r="Y6" s="112" t="n">
        <v>46083</v>
      </c>
      <c r="Z6" s="112" t="n">
        <v>46090</v>
      </c>
      <c r="AA6" s="112" t="n">
        <v>46097</v>
      </c>
      <c r="AB6" s="112" t="n">
        <v>46104</v>
      </c>
      <c r="AC6" s="112" t="n">
        <v>46111</v>
      </c>
      <c r="AD6" s="112" t="n">
        <v>46118</v>
      </c>
      <c r="AE6" s="112" t="n">
        <v>46125</v>
      </c>
      <c r="AF6" s="112" t="n">
        <v>46132</v>
      </c>
      <c r="AG6" s="112" t="n">
        <v>46139</v>
      </c>
      <c r="AH6" s="112" t="n">
        <v>46146</v>
      </c>
      <c r="AI6" s="112" t="n">
        <v>46153</v>
      </c>
      <c r="AJ6" s="112" t="n">
        <v>46160</v>
      </c>
      <c r="AK6" s="112" t="n">
        <v>46167</v>
      </c>
      <c r="AL6" s="112" t="n">
        <v>46174</v>
      </c>
      <c r="AM6" s="113" t="n">
        <v>46181</v>
      </c>
      <c r="AN6" s="113" t="n">
        <v>46188</v>
      </c>
      <c r="AO6" s="113" t="n">
        <v>46195</v>
      </c>
      <c r="AP6" s="113" t="n">
        <v>46202</v>
      </c>
      <c r="AQ6" s="113" t="n"/>
      <c r="AR6" s="113" t="n"/>
      <c r="AS6" s="113" t="n"/>
      <c r="AT6" s="113" t="n"/>
      <c r="AU6" s="113" t="n"/>
      <c r="AV6" s="113" t="n"/>
      <c r="AW6" s="113" t="n"/>
      <c r="AX6" s="113" t="n"/>
      <c r="AY6" s="113" t="n"/>
      <c r="AZ6" s="113" t="n"/>
    </row>
    <row r="7" ht="27.75" customHeight="1" s="443">
      <c r="A7" s="114" t="n">
        <v>1</v>
      </c>
      <c r="B7" s="115" t="inlineStr">
        <is>
          <t>Researching &amp; Planning</t>
        </is>
      </c>
      <c r="C7" s="116" t="n">
        <v>45943</v>
      </c>
      <c r="D7" s="116" t="n">
        <v>45984</v>
      </c>
      <c r="E7" s="117" t="n"/>
      <c r="F7" s="117" t="n"/>
      <c r="G7" s="117" t="n"/>
      <c r="H7" s="117" t="n"/>
      <c r="I7" s="117" t="n"/>
      <c r="J7" s="117" t="n"/>
      <c r="K7" s="117" t="n"/>
      <c r="L7" s="117" t="n"/>
      <c r="M7" s="117" t="n"/>
      <c r="N7" s="117" t="n"/>
      <c r="O7" s="117" t="n"/>
      <c r="P7" s="117" t="n"/>
      <c r="Q7" s="117" t="n"/>
      <c r="R7" s="117" t="n"/>
      <c r="S7" s="117" t="n"/>
      <c r="T7" s="117" t="n"/>
      <c r="U7" s="117" t="n"/>
      <c r="V7" s="117" t="n"/>
      <c r="W7" s="117" t="n"/>
      <c r="X7" s="117" t="n"/>
      <c r="Y7" s="117" t="n"/>
      <c r="Z7" s="117" t="n"/>
      <c r="AA7" s="117" t="n"/>
      <c r="AB7" s="117" t="n"/>
      <c r="AC7" s="117" t="n"/>
      <c r="AD7" s="117" t="n"/>
      <c r="AE7" s="117" t="n"/>
      <c r="AF7" s="118" t="n"/>
      <c r="AG7" s="118" t="n"/>
      <c r="AH7" s="118" t="n"/>
      <c r="AI7" s="118" t="n"/>
      <c r="AJ7" s="118" t="n"/>
      <c r="AK7" s="118" t="n"/>
      <c r="AL7" s="118" t="n"/>
      <c r="AM7" s="119" t="n"/>
      <c r="AN7" s="119" t="n"/>
      <c r="AO7" s="119" t="n"/>
      <c r="AP7" s="119" t="n"/>
      <c r="AQ7" s="119" t="n"/>
      <c r="AR7" s="119" t="n"/>
      <c r="AS7" s="119" t="n"/>
      <c r="AT7" s="119" t="n"/>
      <c r="AU7" s="119" t="n"/>
      <c r="AV7" s="119" t="n"/>
      <c r="AW7" s="119" t="n"/>
      <c r="AX7" s="119" t="n"/>
      <c r="AY7" s="119" t="n"/>
      <c r="AZ7" s="119" t="n"/>
    </row>
    <row r="8">
      <c r="A8" s="252" t="n">
        <v>1.1</v>
      </c>
      <c r="B8" s="121" t="inlineStr">
        <is>
          <t>Project Plan, Product Backlog, Master Feature List</t>
        </is>
      </c>
      <c r="C8" s="122" t="n">
        <v>45943</v>
      </c>
      <c r="D8" s="122" t="n">
        <v>45984</v>
      </c>
      <c r="E8" s="123" t="n"/>
      <c r="F8" s="123" t="n"/>
      <c r="G8" s="124" t="n"/>
      <c r="H8" s="123" t="n"/>
      <c r="I8" s="123" t="n"/>
      <c r="J8" s="123" t="n"/>
      <c r="K8" s="123" t="n"/>
      <c r="L8" s="123" t="n"/>
      <c r="M8" s="123" t="n"/>
      <c r="N8" s="123" t="n"/>
      <c r="O8" s="123" t="n"/>
      <c r="P8" s="123" t="n"/>
      <c r="Q8" s="123" t="n"/>
      <c r="R8" s="123" t="n"/>
      <c r="S8" s="123" t="n"/>
      <c r="T8" s="123" t="n"/>
      <c r="U8" s="123" t="n"/>
      <c r="V8" s="123" t="n"/>
      <c r="W8" s="123" t="n"/>
      <c r="X8" s="123" t="n"/>
      <c r="Y8" s="123" t="n"/>
      <c r="Z8" s="123" t="n"/>
      <c r="AA8" s="123" t="n"/>
      <c r="AB8" s="123" t="n"/>
      <c r="AC8" s="123" t="n"/>
      <c r="AD8" s="123" t="n"/>
      <c r="AE8" s="123" t="n"/>
      <c r="AF8" s="125" t="n"/>
      <c r="AG8" s="125" t="n"/>
      <c r="AH8" s="125" t="n"/>
      <c r="AI8" s="125" t="n"/>
      <c r="AJ8" s="125" t="n"/>
      <c r="AK8" s="125" t="n"/>
      <c r="AL8" s="125" t="n"/>
      <c r="AM8" s="126" t="n"/>
      <c r="AN8" s="126" t="n"/>
      <c r="AO8" s="126" t="n"/>
      <c r="AP8" s="126" t="n"/>
      <c r="AQ8" s="126" t="n"/>
      <c r="AR8" s="126" t="n"/>
      <c r="AS8" s="126" t="n"/>
      <c r="AT8" s="126" t="n"/>
      <c r="AU8" s="126" t="n"/>
      <c r="AV8" s="126" t="n"/>
      <c r="AW8" s="126" t="n"/>
      <c r="AX8" s="126" t="n"/>
      <c r="AY8" s="126" t="n"/>
      <c r="AZ8" s="126" t="n"/>
    </row>
    <row r="9">
      <c r="A9" s="252" t="n">
        <v>1.2</v>
      </c>
      <c r="B9" s="121" t="inlineStr">
        <is>
          <t>Detailed Cost Plan</t>
        </is>
      </c>
      <c r="C9" s="122" t="n">
        <v>45943</v>
      </c>
      <c r="D9" s="122" t="n">
        <v>45984</v>
      </c>
      <c r="E9" s="123" t="n"/>
      <c r="F9" s="123" t="n"/>
      <c r="G9" s="123" t="n"/>
      <c r="H9" s="123" t="n"/>
      <c r="I9" s="123" t="n"/>
      <c r="J9" s="123" t="n"/>
      <c r="K9" s="123" t="n"/>
      <c r="L9" s="123" t="n"/>
      <c r="M9" s="123" t="n"/>
      <c r="N9" s="123" t="n"/>
      <c r="O9" s="123" t="n"/>
      <c r="P9" s="123" t="n"/>
      <c r="Q9" s="123" t="n"/>
      <c r="R9" s="123" t="n"/>
      <c r="S9" s="123" t="n"/>
      <c r="T9" s="123" t="n"/>
      <c r="U9" s="123" t="n"/>
      <c r="V9" s="123" t="n"/>
      <c r="W9" s="123" t="n"/>
      <c r="X9" s="123" t="n"/>
      <c r="Y9" s="123" t="n"/>
      <c r="Z9" s="123" t="n"/>
      <c r="AA9" s="123" t="n"/>
      <c r="AB9" s="123" t="n"/>
      <c r="AC9" s="123" t="n"/>
      <c r="AD9" s="123" t="n"/>
      <c r="AE9" s="123" t="n"/>
      <c r="AF9" s="125" t="n"/>
      <c r="AG9" s="125" t="n"/>
      <c r="AH9" s="125" t="n"/>
      <c r="AI9" s="125" t="n"/>
      <c r="AJ9" s="125" t="n"/>
      <c r="AK9" s="125" t="n"/>
      <c r="AL9" s="125" t="n"/>
      <c r="AM9" s="126" t="n"/>
      <c r="AN9" s="126" t="n"/>
      <c r="AO9" s="126" t="n"/>
      <c r="AP9" s="126" t="n"/>
      <c r="AQ9" s="126" t="n"/>
      <c r="AR9" s="126" t="n"/>
      <c r="AS9" s="126" t="n"/>
      <c r="AT9" s="126" t="n"/>
      <c r="AU9" s="126" t="n"/>
      <c r="AV9" s="126" t="n"/>
      <c r="AW9" s="126" t="n"/>
      <c r="AX9" s="126" t="n"/>
      <c r="AY9" s="126" t="n"/>
      <c r="AZ9" s="126" t="n"/>
    </row>
    <row r="10">
      <c r="A10" s="252" t="n">
        <v>1.3</v>
      </c>
      <c r="B10" s="127" t="inlineStr">
        <is>
          <t>User Journey Map for key personas</t>
        </is>
      </c>
      <c r="C10" s="122" t="n">
        <v>45943</v>
      </c>
      <c r="D10" s="122" t="n">
        <v>45984</v>
      </c>
      <c r="E10" s="123" t="n"/>
      <c r="F10" s="123" t="n"/>
      <c r="G10" s="123" t="n"/>
      <c r="H10" s="123" t="n"/>
      <c r="I10" s="123" t="n"/>
      <c r="J10" s="123" t="n"/>
      <c r="K10" s="123" t="n"/>
      <c r="L10" s="123" t="n"/>
      <c r="M10" s="123" t="n"/>
      <c r="N10" s="123" t="n"/>
      <c r="O10" s="123" t="n"/>
      <c r="P10" s="123" t="n"/>
      <c r="Q10" s="123" t="n"/>
      <c r="R10" s="123" t="n"/>
      <c r="S10" s="123" t="n"/>
      <c r="T10" s="123" t="n"/>
      <c r="U10" s="123" t="n"/>
      <c r="V10" s="123" t="n"/>
      <c r="W10" s="123" t="n"/>
      <c r="X10" s="123" t="n"/>
      <c r="Y10" s="123" t="n"/>
      <c r="Z10" s="123" t="n"/>
      <c r="AA10" s="123" t="n"/>
      <c r="AB10" s="123" t="n"/>
      <c r="AC10" s="123" t="n"/>
      <c r="AD10" s="123" t="n"/>
      <c r="AE10" s="123" t="n"/>
      <c r="AF10" s="125" t="n"/>
      <c r="AG10" s="125" t="n"/>
      <c r="AH10" s="125" t="n"/>
      <c r="AI10" s="125" t="n"/>
      <c r="AJ10" s="125" t="n"/>
      <c r="AK10" s="125" t="n"/>
      <c r="AL10" s="125" t="n"/>
      <c r="AM10" s="126" t="n"/>
      <c r="AN10" s="126" t="n"/>
      <c r="AO10" s="126" t="n"/>
      <c r="AP10" s="126" t="n"/>
      <c r="AQ10" s="126" t="n"/>
      <c r="AR10" s="126" t="n"/>
      <c r="AS10" s="126" t="n"/>
      <c r="AT10" s="126" t="n"/>
      <c r="AU10" s="126" t="n"/>
      <c r="AV10" s="126" t="n"/>
      <c r="AW10" s="126" t="n"/>
      <c r="AX10" s="126" t="n"/>
      <c r="AY10" s="126" t="n"/>
      <c r="AZ10" s="126" t="n"/>
    </row>
    <row r="11">
      <c r="A11" s="252" t="n">
        <v>1.4</v>
      </c>
      <c r="B11" s="127" t="inlineStr">
        <is>
          <t>Complete, approved feature list</t>
        </is>
      </c>
      <c r="C11" s="122" t="n">
        <v>45943</v>
      </c>
      <c r="D11" s="122" t="n">
        <v>45984</v>
      </c>
      <c r="E11" s="123" t="n"/>
      <c r="F11" s="123" t="n"/>
      <c r="G11" s="123" t="n"/>
      <c r="H11" s="123" t="n"/>
      <c r="I11" s="123" t="n"/>
      <c r="J11" s="123" t="n"/>
      <c r="K11" s="123" t="n"/>
      <c r="L11" s="123" t="n"/>
      <c r="M11" s="123" t="n"/>
      <c r="N11" s="123" t="n"/>
      <c r="O11" s="123" t="n"/>
      <c r="P11" s="123" t="n"/>
      <c r="Q11" s="123" t="n"/>
      <c r="R11" s="123" t="n"/>
      <c r="S11" s="123" t="n"/>
      <c r="T11" s="123" t="n"/>
      <c r="U11" s="123" t="n"/>
      <c r="V11" s="123" t="n"/>
      <c r="W11" s="123" t="n"/>
      <c r="X11" s="123" t="n"/>
      <c r="Y11" s="123" t="n"/>
      <c r="Z11" s="123" t="n"/>
      <c r="AA11" s="123" t="n"/>
      <c r="AB11" s="123" t="n"/>
      <c r="AC11" s="123" t="n"/>
      <c r="AD11" s="123" t="n"/>
      <c r="AE11" s="123" t="n"/>
      <c r="AF11" s="125" t="n"/>
      <c r="AG11" s="125" t="n"/>
      <c r="AH11" s="125" t="n"/>
      <c r="AI11" s="125" t="n"/>
      <c r="AJ11" s="125" t="n"/>
      <c r="AK11" s="125" t="n"/>
      <c r="AL11" s="125" t="n"/>
      <c r="AM11" s="126" t="n"/>
      <c r="AN11" s="126" t="n"/>
      <c r="AO11" s="126" t="n"/>
      <c r="AP11" s="126" t="n"/>
      <c r="AQ11" s="126" t="n"/>
      <c r="AR11" s="126" t="n"/>
      <c r="AS11" s="126" t="n"/>
      <c r="AT11" s="126" t="n"/>
      <c r="AU11" s="126" t="n"/>
      <c r="AV11" s="126" t="n"/>
      <c r="AW11" s="126" t="n"/>
      <c r="AX11" s="126" t="n"/>
      <c r="AY11" s="126" t="n"/>
      <c r="AZ11" s="126" t="n"/>
    </row>
    <row r="12">
      <c r="A12" s="252" t="n">
        <v>1.5</v>
      </c>
      <c r="B12" s="127" t="inlineStr">
        <is>
          <t>Define Game Design Document</t>
        </is>
      </c>
      <c r="C12" s="122" t="n">
        <v>45943</v>
      </c>
      <c r="D12" s="122" t="n">
        <v>45984</v>
      </c>
      <c r="E12" s="123" t="n"/>
      <c r="F12" s="123" t="n"/>
      <c r="G12" s="123" t="n"/>
      <c r="H12" s="123" t="n"/>
      <c r="I12" s="123" t="n"/>
      <c r="J12" s="123" t="n"/>
      <c r="K12" s="123" t="n"/>
      <c r="L12" s="123" t="n"/>
      <c r="M12" s="123" t="n"/>
      <c r="N12" s="123" t="n"/>
      <c r="O12" s="123" t="n"/>
      <c r="P12" s="123" t="n"/>
      <c r="Q12" s="123" t="n"/>
      <c r="R12" s="123" t="n"/>
      <c r="S12" s="123" t="n"/>
      <c r="T12" s="123" t="n"/>
      <c r="U12" s="123" t="n"/>
      <c r="V12" s="123" t="n"/>
      <c r="W12" s="123" t="n"/>
      <c r="X12" s="123" t="n"/>
      <c r="Y12" s="123" t="n"/>
      <c r="Z12" s="123" t="n"/>
      <c r="AA12" s="123" t="n"/>
      <c r="AB12" s="123" t="n"/>
      <c r="AC12" s="123" t="n"/>
      <c r="AD12" s="123" t="n"/>
      <c r="AE12" s="123" t="n"/>
      <c r="AF12" s="125" t="n"/>
      <c r="AG12" s="125" t="n"/>
      <c r="AH12" s="125" t="n"/>
      <c r="AI12" s="125" t="n"/>
      <c r="AJ12" s="125" t="n"/>
      <c r="AK12" s="125" t="n"/>
      <c r="AL12" s="125" t="n"/>
      <c r="AM12" s="126" t="n"/>
      <c r="AN12" s="126" t="n"/>
      <c r="AO12" s="126" t="n"/>
      <c r="AP12" s="126" t="n"/>
      <c r="AQ12" s="126" t="n"/>
      <c r="AR12" s="126" t="n"/>
      <c r="AS12" s="126" t="n"/>
      <c r="AT12" s="126" t="n"/>
      <c r="AU12" s="126" t="n"/>
      <c r="AV12" s="126" t="n"/>
      <c r="AW12" s="126" t="n"/>
      <c r="AX12" s="126" t="n"/>
      <c r="AY12" s="126" t="n"/>
      <c r="AZ12" s="126" t="n"/>
    </row>
    <row r="13">
      <c r="A13" s="498" t="inlineStr">
        <is>
          <t>2.1</t>
        </is>
      </c>
      <c r="B13" s="499" t="inlineStr">
        <is>
          <t>Milestone 1: Prototype</t>
        </is>
      </c>
      <c r="C13" s="500" t="n">
        <v>45985</v>
      </c>
      <c r="D13" s="500" t="n">
        <v>46122</v>
      </c>
      <c r="E13" s="498" t="n"/>
      <c r="F13" s="498" t="n"/>
      <c r="G13" s="498" t="n"/>
      <c r="H13" s="498" t="n"/>
      <c r="I13" s="498" t="n"/>
      <c r="J13" s="498" t="n"/>
      <c r="K13" s="498" t="n"/>
      <c r="L13" s="498" t="n"/>
      <c r="M13" s="498" t="n"/>
      <c r="N13" s="498" t="n"/>
    </row>
    <row r="14">
      <c r="A14" s="501" t="inlineStr">
        <is>
          <t>2.1.1</t>
        </is>
      </c>
      <c r="B14" s="502" t="inlineStr">
        <is>
          <t>Sprint 1</t>
        </is>
      </c>
      <c r="C14" s="503" t="n">
        <v>45985</v>
      </c>
      <c r="D14" s="503" t="n">
        <v>45996</v>
      </c>
      <c r="E14" s="501" t="n"/>
      <c r="F14" s="501" t="n"/>
      <c r="G14" s="501" t="n"/>
      <c r="H14" s="501" t="n"/>
      <c r="I14" s="501" t="n"/>
      <c r="J14" s="501" t="n"/>
      <c r="K14" s="501" t="n"/>
      <c r="L14" s="501" t="n"/>
      <c r="M14" s="501" t="n"/>
      <c r="N14" s="501" t="n"/>
    </row>
    <row r="15">
      <c r="A15" s="504" t="inlineStr">
        <is>
          <t>2.1.1.1</t>
        </is>
      </c>
      <c r="B15" s="505" t="inlineStr">
        <is>
          <t>Login screen &amp; Auth Integration</t>
        </is>
      </c>
      <c r="C15" s="506" t="n">
        <v>45985</v>
      </c>
      <c r="D15" s="506" t="n">
        <v>45996</v>
      </c>
      <c r="E15" s="504" t="n"/>
      <c r="F15" s="504" t="n"/>
      <c r="G15" s="504" t="n"/>
      <c r="H15" s="504" t="n"/>
      <c r="I15" s="504" t="n"/>
      <c r="J15" s="504" t="n"/>
      <c r="K15" s="504" t="n"/>
      <c r="L15" s="504" t="n"/>
      <c r="M15" s="504" t="n"/>
      <c r="N15" s="504" t="n"/>
    </row>
    <row r="16">
      <c r="A16" s="501" t="inlineStr">
        <is>
          <t>2.1.2</t>
        </is>
      </c>
      <c r="B16" s="502" t="inlineStr">
        <is>
          <t>Sprint 2</t>
        </is>
      </c>
      <c r="C16" s="503" t="n">
        <v>45999</v>
      </c>
      <c r="D16" s="503" t="n">
        <v>46010</v>
      </c>
      <c r="E16" s="501" t="n"/>
      <c r="F16" s="501" t="n"/>
      <c r="G16" s="501" t="n"/>
      <c r="H16" s="501" t="n"/>
      <c r="I16" s="501" t="n"/>
      <c r="J16" s="501" t="n"/>
      <c r="K16" s="501" t="n"/>
      <c r="L16" s="501" t="n"/>
      <c r="M16" s="501" t="n"/>
      <c r="N16" s="501" t="n"/>
    </row>
    <row r="17">
      <c r="A17" s="504" t="inlineStr">
        <is>
          <t>2.1.2.1</t>
        </is>
      </c>
      <c r="B17" s="505" t="inlineStr">
        <is>
          <t>Sign up screen &amp; Forgot Password Flow</t>
        </is>
      </c>
      <c r="C17" s="506" t="n">
        <v>45999</v>
      </c>
      <c r="D17" s="506" t="n">
        <v>46010</v>
      </c>
      <c r="E17" s="504" t="n"/>
      <c r="F17" s="504" t="n"/>
      <c r="G17" s="504" t="n"/>
      <c r="H17" s="504" t="n"/>
      <c r="I17" s="504" t="n"/>
      <c r="J17" s="504" t="n"/>
      <c r="K17" s="504" t="n"/>
      <c r="L17" s="504" t="n"/>
      <c r="M17" s="504" t="n"/>
      <c r="N17" s="504" t="n"/>
    </row>
    <row r="18">
      <c r="A18" s="501" t="inlineStr">
        <is>
          <t>2.1.3</t>
        </is>
      </c>
      <c r="B18" s="502" t="inlineStr">
        <is>
          <t>Sprint 3</t>
        </is>
      </c>
      <c r="C18" s="503" t="n">
        <v>46013</v>
      </c>
      <c r="D18" s="503" t="n">
        <v>46024</v>
      </c>
      <c r="E18" s="501" t="n"/>
      <c r="F18" s="501" t="n"/>
      <c r="G18" s="501" t="n"/>
      <c r="H18" s="501" t="n"/>
      <c r="I18" s="501" t="n"/>
      <c r="J18" s="501" t="n"/>
      <c r="K18" s="501" t="n"/>
      <c r="L18" s="501" t="n"/>
      <c r="M18" s="501" t="n"/>
      <c r="N18" s="501" t="n"/>
    </row>
    <row r="19" ht="15.75" customHeight="1" s="443">
      <c r="A19" s="504" t="inlineStr">
        <is>
          <t>2.1.3.1</t>
        </is>
      </c>
      <c r="B19" s="505" t="inlineStr">
        <is>
          <t>Gademy island tutorial FTUE</t>
        </is>
      </c>
      <c r="C19" s="506" t="n">
        <v>46013</v>
      </c>
      <c r="D19" s="506" t="n">
        <v>46024</v>
      </c>
      <c r="E19" s="504" t="n"/>
      <c r="F19" s="504" t="n"/>
      <c r="G19" s="504" t="n"/>
      <c r="H19" s="504" t="n"/>
      <c r="I19" s="504" t="n"/>
      <c r="J19" s="504" t="n"/>
      <c r="K19" s="504" t="n"/>
      <c r="L19" s="504" t="n"/>
      <c r="M19" s="504" t="n"/>
      <c r="N19" s="504" t="n"/>
    </row>
    <row r="20" ht="15.75" customHeight="1" s="443">
      <c r="A20" s="501" t="inlineStr">
        <is>
          <t>2.1.4</t>
        </is>
      </c>
      <c r="B20" s="502" t="inlineStr">
        <is>
          <t>Sprint 4</t>
        </is>
      </c>
      <c r="C20" s="503" t="n">
        <v>46027</v>
      </c>
      <c r="D20" s="503" t="n">
        <v>46038</v>
      </c>
      <c r="E20" s="501" t="n"/>
      <c r="F20" s="501" t="n"/>
      <c r="G20" s="501" t="n"/>
      <c r="H20" s="501" t="n"/>
      <c r="I20" s="501" t="n"/>
      <c r="J20" s="501" t="n"/>
      <c r="K20" s="501" t="n"/>
      <c r="L20" s="501" t="n"/>
      <c r="M20" s="501" t="n"/>
      <c r="N20" s="501" t="n"/>
    </row>
    <row r="21" ht="15.75" customHeight="1" s="443">
      <c r="A21" s="504" t="inlineStr">
        <is>
          <t>2.1.4.1</t>
        </is>
      </c>
      <c r="B21" s="505" t="inlineStr">
        <is>
          <t>School Hub island tutorial FTUE</t>
        </is>
      </c>
      <c r="C21" s="506" t="n">
        <v>46027</v>
      </c>
      <c r="D21" s="506" t="n">
        <v>46038</v>
      </c>
      <c r="E21" s="504" t="n"/>
      <c r="F21" s="504" t="n"/>
      <c r="G21" s="504" t="n"/>
      <c r="H21" s="504" t="n"/>
      <c r="I21" s="504" t="n"/>
      <c r="J21" s="504" t="n"/>
      <c r="K21" s="504" t="n"/>
      <c r="L21" s="504" t="n"/>
      <c r="M21" s="504" t="n"/>
      <c r="N21" s="504" t="n"/>
    </row>
    <row r="22">
      <c r="A22" s="501" t="inlineStr">
        <is>
          <t>2.1.5</t>
        </is>
      </c>
      <c r="B22" s="502" t="inlineStr">
        <is>
          <t>Sprint 5</t>
        </is>
      </c>
      <c r="C22" s="503" t="n">
        <v>46041</v>
      </c>
      <c r="D22" s="503" t="n">
        <v>46052</v>
      </c>
      <c r="E22" s="501" t="n"/>
      <c r="F22" s="501" t="n"/>
      <c r="G22" s="501" t="n"/>
      <c r="H22" s="501" t="n"/>
      <c r="I22" s="501" t="n"/>
      <c r="J22" s="501" t="n"/>
      <c r="K22" s="501" t="n"/>
      <c r="L22" s="501" t="n"/>
      <c r="M22" s="501" t="n"/>
      <c r="N22" s="501" t="n"/>
    </row>
    <row r="23" ht="15.75" customHeight="1" s="443">
      <c r="A23" s="504" t="inlineStr">
        <is>
          <t>2.1.5.1</t>
        </is>
      </c>
      <c r="B23" s="505" t="inlineStr">
        <is>
          <t>Avatar island tutorial FTUE</t>
        </is>
      </c>
      <c r="C23" s="506" t="n">
        <v>46041</v>
      </c>
      <c r="D23" s="506" t="n">
        <v>46052</v>
      </c>
      <c r="E23" s="504" t="n"/>
      <c r="F23" s="504" t="n"/>
      <c r="G23" s="504" t="n"/>
      <c r="H23" s="504" t="n"/>
      <c r="I23" s="504" t="n"/>
      <c r="J23" s="504" t="n"/>
      <c r="K23" s="504" t="n"/>
      <c r="L23" s="504" t="n"/>
      <c r="M23" s="504" t="n"/>
      <c r="N23" s="504" t="n"/>
    </row>
    <row r="24" ht="15.75" customHeight="1" s="443">
      <c r="A24" s="501" t="inlineStr">
        <is>
          <t>2.1.6</t>
        </is>
      </c>
      <c r="B24" s="502" t="inlineStr">
        <is>
          <t>Sprint 6</t>
        </is>
      </c>
      <c r="C24" s="503" t="n">
        <v>46055</v>
      </c>
      <c r="D24" s="503" t="n">
        <v>46066</v>
      </c>
      <c r="E24" s="501" t="n"/>
      <c r="F24" s="501" t="n"/>
      <c r="G24" s="501" t="n"/>
      <c r="H24" s="501" t="n"/>
      <c r="I24" s="501" t="n"/>
      <c r="J24" s="501" t="n"/>
      <c r="K24" s="501" t="n"/>
      <c r="L24" s="501" t="n"/>
      <c r="M24" s="501" t="n"/>
      <c r="N24" s="501" t="n"/>
    </row>
    <row r="25" ht="15.75" customHeight="1" s="443">
      <c r="A25" s="504" t="inlineStr">
        <is>
          <t>2.1.6.1</t>
        </is>
      </c>
      <c r="B25" s="505" t="inlineStr">
        <is>
          <t>Arena island tutorial FTUE</t>
        </is>
      </c>
      <c r="C25" s="506" t="n">
        <v>46055</v>
      </c>
      <c r="D25" s="506" t="n">
        <v>46066</v>
      </c>
      <c r="E25" s="504" t="n"/>
      <c r="F25" s="504" t="n"/>
      <c r="G25" s="504" t="n"/>
      <c r="H25" s="504" t="n"/>
      <c r="I25" s="504" t="n"/>
      <c r="J25" s="504" t="n"/>
      <c r="K25" s="504" t="n"/>
      <c r="L25" s="504" t="n"/>
      <c r="M25" s="504" t="n"/>
      <c r="N25" s="504" t="n"/>
    </row>
    <row r="26" ht="15.75" customHeight="1" s="443">
      <c r="A26" s="501" t="inlineStr">
        <is>
          <t>2.1.7</t>
        </is>
      </c>
      <c r="B26" s="502" t="inlineStr">
        <is>
          <t>Sprint 7</t>
        </is>
      </c>
      <c r="C26" s="503" t="n">
        <v>46069</v>
      </c>
      <c r="D26" s="503" t="n">
        <v>46080</v>
      </c>
      <c r="E26" s="501" t="n"/>
      <c r="F26" s="501" t="n"/>
      <c r="G26" s="501" t="n"/>
      <c r="H26" s="501" t="n"/>
      <c r="I26" s="501" t="n"/>
      <c r="J26" s="501" t="n"/>
      <c r="K26" s="501" t="n"/>
      <c r="L26" s="501" t="n"/>
      <c r="M26" s="501" t="n"/>
      <c r="N26" s="501" t="n"/>
    </row>
    <row r="27" ht="15.75" customHeight="1" s="443">
      <c r="A27" s="504" t="inlineStr">
        <is>
          <t>2.1.7.1</t>
        </is>
      </c>
      <c r="B27" s="505" t="inlineStr">
        <is>
          <t>Gademy island: Spawn Zone &amp; Portal interaction</t>
        </is>
      </c>
      <c r="C27" s="506" t="n">
        <v>46069</v>
      </c>
      <c r="D27" s="506" t="n">
        <v>46080</v>
      </c>
      <c r="E27" s="504" t="n"/>
      <c r="F27" s="504" t="n"/>
      <c r="G27" s="504" t="n"/>
      <c r="H27" s="504" t="n"/>
      <c r="I27" s="504" t="n"/>
      <c r="J27" s="504" t="n"/>
      <c r="K27" s="504" t="n"/>
      <c r="L27" s="504" t="n"/>
      <c r="M27" s="504" t="n"/>
      <c r="N27" s="504" t="n"/>
    </row>
    <row r="28" ht="15.75" customHeight="1" s="443">
      <c r="A28" s="501" t="inlineStr">
        <is>
          <t>2.1.8</t>
        </is>
      </c>
      <c r="B28" s="502" t="inlineStr">
        <is>
          <t>Sprint 8</t>
        </is>
      </c>
      <c r="C28" s="503" t="n">
        <v>46083</v>
      </c>
      <c r="D28" s="503" t="n">
        <v>46094</v>
      </c>
      <c r="E28" s="501" t="n"/>
      <c r="F28" s="501" t="n"/>
      <c r="G28" s="501" t="n"/>
      <c r="H28" s="501" t="n"/>
      <c r="I28" s="501" t="n"/>
      <c r="J28" s="501" t="n"/>
      <c r="K28" s="501" t="n"/>
      <c r="L28" s="501" t="n"/>
      <c r="M28" s="501" t="n"/>
      <c r="N28" s="501" t="n"/>
    </row>
    <row r="29" ht="15.75" customHeight="1" s="443">
      <c r="A29" s="504" t="inlineStr">
        <is>
          <t>2.1.8.1</t>
        </is>
      </c>
      <c r="B29" s="505" t="inlineStr">
        <is>
          <t>GDM Landmark &amp; WebView iTouch Integration</t>
        </is>
      </c>
      <c r="C29" s="506" t="n">
        <v>46083</v>
      </c>
      <c r="D29" s="506" t="n">
        <v>46094</v>
      </c>
      <c r="E29" s="504" t="n"/>
      <c r="F29" s="504" t="n"/>
      <c r="G29" s="504" t="n"/>
      <c r="H29" s="504" t="n"/>
      <c r="I29" s="504" t="n"/>
      <c r="J29" s="504" t="n"/>
      <c r="K29" s="504" t="n"/>
      <c r="L29" s="504" t="n"/>
      <c r="M29" s="504" t="n"/>
      <c r="N29" s="504" t="n"/>
    </row>
    <row r="30" ht="15.75" customHeight="1" s="443">
      <c r="A30" s="501" t="inlineStr">
        <is>
          <t>2.1.9</t>
        </is>
      </c>
      <c r="B30" s="502" t="inlineStr">
        <is>
          <t>Sprint 9</t>
        </is>
      </c>
      <c r="C30" s="503" t="n">
        <v>46097</v>
      </c>
      <c r="D30" s="503" t="n">
        <v>46108</v>
      </c>
      <c r="E30" s="501" t="n"/>
      <c r="F30" s="501" t="n"/>
      <c r="G30" s="501" t="n"/>
      <c r="H30" s="501" t="n"/>
      <c r="I30" s="501" t="n"/>
      <c r="J30" s="501" t="n"/>
      <c r="K30" s="501" t="n"/>
      <c r="L30" s="501" t="n"/>
      <c r="M30" s="501" t="n"/>
      <c r="N30" s="501" t="n"/>
    </row>
    <row r="31" ht="15.75" customHeight="1" s="443">
      <c r="A31" s="504" t="inlineStr">
        <is>
          <t>2.1.9.1</t>
        </is>
      </c>
      <c r="B31" s="505" t="inlineStr">
        <is>
          <t>School yard networking &amp; multiplayer basics</t>
        </is>
      </c>
      <c r="C31" s="506" t="n">
        <v>46097</v>
      </c>
      <c r="D31" s="506" t="n">
        <v>46108</v>
      </c>
      <c r="E31" s="504" t="n"/>
      <c r="F31" s="504" t="n"/>
      <c r="G31" s="504" t="n"/>
      <c r="H31" s="504" t="n"/>
      <c r="I31" s="504" t="n"/>
      <c r="J31" s="504" t="n"/>
      <c r="K31" s="504" t="n"/>
      <c r="L31" s="504" t="n"/>
      <c r="M31" s="504" t="n"/>
      <c r="N31" s="504" t="n"/>
    </row>
    <row r="32" ht="15.75" customHeight="1" s="443">
      <c r="A32" s="501" t="inlineStr">
        <is>
          <t>2.1.10</t>
        </is>
      </c>
      <c r="B32" s="502" t="inlineStr">
        <is>
          <t>Sprint 10</t>
        </is>
      </c>
      <c r="C32" s="503" t="n">
        <v>46111</v>
      </c>
      <c r="D32" s="503" t="n">
        <v>46122</v>
      </c>
      <c r="E32" s="501" t="n"/>
      <c r="F32" s="501" t="n"/>
      <c r="G32" s="501" t="n"/>
      <c r="H32" s="501" t="n"/>
      <c r="I32" s="501" t="n"/>
      <c r="J32" s="501" t="n"/>
      <c r="K32" s="501" t="n"/>
      <c r="L32" s="501" t="n"/>
      <c r="M32" s="501" t="n"/>
      <c r="N32" s="501" t="n"/>
    </row>
    <row r="33" ht="15.75" customHeight="1" s="443">
      <c r="A33" s="504" t="inlineStr">
        <is>
          <t>2.1.10.1</t>
        </is>
      </c>
      <c r="B33" s="505" t="inlineStr">
        <is>
          <t>Library UI &amp; Book viewing features</t>
        </is>
      </c>
      <c r="C33" s="506" t="n">
        <v>46111</v>
      </c>
      <c r="D33" s="506" t="n">
        <v>46122</v>
      </c>
      <c r="E33" s="504" t="n"/>
      <c r="F33" s="504" t="n"/>
      <c r="G33" s="504" t="n"/>
      <c r="H33" s="504" t="n"/>
      <c r="I33" s="504" t="n"/>
      <c r="J33" s="504" t="n"/>
      <c r="K33" s="504" t="n"/>
      <c r="L33" s="504" t="n"/>
      <c r="M33" s="504" t="n"/>
      <c r="N33" s="504" t="n"/>
    </row>
    <row r="34" ht="15.75" customHeight="1" s="443">
      <c r="A34" s="498" t="inlineStr">
        <is>
          <t>2.2</t>
        </is>
      </c>
      <c r="B34" s="499" t="inlineStr">
        <is>
          <t>Milestone 2: Closed Beta</t>
        </is>
      </c>
      <c r="C34" s="500" t="n">
        <v>46125</v>
      </c>
      <c r="D34" s="500" t="n">
        <v>46248</v>
      </c>
      <c r="E34" s="498" t="n"/>
      <c r="F34" s="498" t="n"/>
      <c r="G34" s="498" t="n"/>
      <c r="H34" s="498" t="n"/>
      <c r="I34" s="498" t="n"/>
      <c r="J34" s="498" t="n"/>
      <c r="K34" s="498" t="n"/>
      <c r="L34" s="498" t="n"/>
      <c r="M34" s="498" t="n"/>
      <c r="N34" s="498" t="n"/>
    </row>
    <row r="35" ht="15.75" customHeight="1" s="443">
      <c r="A35" s="501" t="inlineStr">
        <is>
          <t>2.2.1</t>
        </is>
      </c>
      <c r="B35" s="502" t="inlineStr">
        <is>
          <t>Sprint 11</t>
        </is>
      </c>
      <c r="C35" s="503" t="n">
        <v>46125</v>
      </c>
      <c r="D35" s="503" t="n">
        <v>46136</v>
      </c>
      <c r="E35" s="501" t="n"/>
      <c r="F35" s="501" t="n"/>
      <c r="G35" s="501" t="n"/>
      <c r="H35" s="501" t="n"/>
      <c r="I35" s="501" t="n"/>
      <c r="J35" s="501" t="n"/>
      <c r="K35" s="501" t="n"/>
      <c r="L35" s="501" t="n"/>
      <c r="M35" s="501" t="n"/>
      <c r="N35" s="501" t="n"/>
    </row>
    <row r="36" ht="15.75" customHeight="1" s="443">
      <c r="A36" s="504" t="inlineStr">
        <is>
          <t>2.2.1.1</t>
        </is>
      </c>
      <c r="B36" s="505" t="inlineStr">
        <is>
          <t>LAB room interactive mechanics</t>
        </is>
      </c>
      <c r="C36" s="506" t="n">
        <v>46125</v>
      </c>
      <c r="D36" s="506" t="n">
        <v>46136</v>
      </c>
      <c r="E36" s="504" t="n"/>
      <c r="F36" s="504" t="n"/>
      <c r="G36" s="504" t="n"/>
      <c r="H36" s="504" t="n"/>
      <c r="I36" s="504" t="n"/>
      <c r="J36" s="504" t="n"/>
      <c r="K36" s="504" t="n"/>
      <c r="L36" s="504" t="n"/>
      <c r="M36" s="504" t="n"/>
      <c r="N36" s="504" t="n"/>
    </row>
    <row r="37" ht="15.75" customHeight="1" s="443">
      <c r="A37" s="501" t="inlineStr">
        <is>
          <t>2.2.2</t>
        </is>
      </c>
      <c r="B37" s="502" t="inlineStr">
        <is>
          <t>Sprint 12</t>
        </is>
      </c>
      <c r="C37" s="503" t="n">
        <v>46139</v>
      </c>
      <c r="D37" s="503" t="n">
        <v>46150</v>
      </c>
      <c r="E37" s="501" t="n"/>
      <c r="F37" s="501" t="n"/>
      <c r="G37" s="501" t="n"/>
      <c r="H37" s="501" t="n"/>
      <c r="I37" s="501" t="n"/>
      <c r="J37" s="501" t="n"/>
      <c r="K37" s="501" t="n"/>
      <c r="L37" s="501" t="n"/>
      <c r="M37" s="501" t="n"/>
      <c r="N37" s="501" t="n"/>
    </row>
    <row r="38">
      <c r="A38" s="504" t="inlineStr">
        <is>
          <t>2.2.2.1</t>
        </is>
      </c>
      <c r="B38" s="505" t="inlineStr">
        <is>
          <t>Smart learning board &amp; Class scheduler</t>
        </is>
      </c>
      <c r="C38" s="506" t="n">
        <v>46139</v>
      </c>
      <c r="D38" s="506" t="n">
        <v>46150</v>
      </c>
      <c r="E38" s="504" t="n"/>
      <c r="F38" s="504" t="n"/>
      <c r="G38" s="504" t="n"/>
      <c r="H38" s="504" t="n"/>
      <c r="I38" s="504" t="n"/>
      <c r="J38" s="504" t="n"/>
      <c r="K38" s="504" t="n"/>
      <c r="L38" s="504" t="n"/>
      <c r="M38" s="504" t="n"/>
      <c r="N38" s="504" t="n"/>
    </row>
    <row r="39" ht="15.75" customHeight="1" s="443">
      <c r="A39" s="501" t="inlineStr">
        <is>
          <t>2.2.3</t>
        </is>
      </c>
      <c r="B39" s="502" t="inlineStr">
        <is>
          <t>Sprint 13</t>
        </is>
      </c>
      <c r="C39" s="503" t="n">
        <v>46153</v>
      </c>
      <c r="D39" s="503" t="n">
        <v>46164</v>
      </c>
      <c r="E39" s="501" t="n"/>
      <c r="F39" s="501" t="n"/>
      <c r="G39" s="501" t="n"/>
      <c r="H39" s="501" t="n"/>
      <c r="I39" s="501" t="n"/>
      <c r="J39" s="501" t="n"/>
      <c r="K39" s="501" t="n"/>
      <c r="L39" s="501" t="n"/>
      <c r="M39" s="501" t="n"/>
      <c r="N39" s="501" t="n"/>
    </row>
    <row r="40" ht="15.75" customHeight="1" s="443">
      <c r="A40" s="504" t="inlineStr">
        <is>
          <t>2.2.3.1</t>
        </is>
      </c>
      <c r="B40" s="505" t="inlineStr">
        <is>
          <t>Holo Learning Pod logic</t>
        </is>
      </c>
      <c r="C40" s="506" t="n">
        <v>46153</v>
      </c>
      <c r="D40" s="506" t="n">
        <v>46164</v>
      </c>
      <c r="E40" s="504" t="n"/>
      <c r="F40" s="504" t="n"/>
      <c r="G40" s="504" t="n"/>
      <c r="H40" s="504" t="n"/>
      <c r="I40" s="504" t="n"/>
      <c r="J40" s="504" t="n"/>
      <c r="K40" s="504" t="n"/>
      <c r="L40" s="504" t="n"/>
      <c r="M40" s="504" t="n"/>
      <c r="N40" s="504" t="n"/>
    </row>
    <row r="41" ht="15.75" customHeight="1" s="443">
      <c r="A41" s="501" t="inlineStr">
        <is>
          <t>2.2.4</t>
        </is>
      </c>
      <c r="B41" s="502" t="inlineStr">
        <is>
          <t>Sprint 14</t>
        </is>
      </c>
      <c r="C41" s="503" t="n">
        <v>46167</v>
      </c>
      <c r="D41" s="503" t="n">
        <v>46178</v>
      </c>
      <c r="E41" s="501" t="n"/>
      <c r="F41" s="501" t="n"/>
      <c r="G41" s="501" t="n"/>
      <c r="H41" s="501" t="n"/>
      <c r="I41" s="501" t="n"/>
      <c r="J41" s="501" t="n"/>
      <c r="K41" s="501" t="n"/>
      <c r="L41" s="501" t="n"/>
      <c r="M41" s="501" t="n"/>
      <c r="N41" s="501" t="n"/>
    </row>
    <row r="42" ht="15.75" customHeight="1" s="443">
      <c r="A42" s="504" t="inlineStr">
        <is>
          <t>2.2.4.1</t>
        </is>
      </c>
      <c r="B42" s="505" t="inlineStr">
        <is>
          <t>Join live session API Integration</t>
        </is>
      </c>
      <c r="C42" s="506" t="n">
        <v>46167</v>
      </c>
      <c r="D42" s="506" t="n">
        <v>46178</v>
      </c>
      <c r="E42" s="504" t="n"/>
      <c r="F42" s="504" t="n"/>
      <c r="G42" s="504" t="n"/>
      <c r="H42" s="504" t="n"/>
      <c r="I42" s="504" t="n"/>
      <c r="J42" s="504" t="n"/>
      <c r="K42" s="504" t="n"/>
      <c r="L42" s="504" t="n"/>
      <c r="M42" s="504" t="n"/>
      <c r="N42" s="504" t="n"/>
    </row>
    <row r="43" ht="15.75" customHeight="1" s="443">
      <c r="A43" s="501" t="inlineStr">
        <is>
          <t>2.2.5</t>
        </is>
      </c>
      <c r="B43" s="502" t="inlineStr">
        <is>
          <t>Sprint 15</t>
        </is>
      </c>
      <c r="C43" s="503" t="n">
        <v>46181</v>
      </c>
      <c r="D43" s="503" t="n">
        <v>46192</v>
      </c>
      <c r="E43" s="501" t="n"/>
      <c r="F43" s="501" t="n"/>
      <c r="G43" s="501" t="n"/>
      <c r="H43" s="501" t="n"/>
      <c r="I43" s="501" t="n"/>
      <c r="J43" s="501" t="n"/>
      <c r="K43" s="501" t="n"/>
      <c r="L43" s="501" t="n"/>
      <c r="M43" s="501" t="n"/>
      <c r="N43" s="501" t="n"/>
    </row>
    <row r="44" ht="15.75" customHeight="1" s="443">
      <c r="A44" s="504" t="inlineStr">
        <is>
          <t>2.2.5.1</t>
        </is>
      </c>
      <c r="B44" s="505" t="inlineStr">
        <is>
          <t>Avatar Character Builder System</t>
        </is>
      </c>
      <c r="C44" s="506" t="n">
        <v>46181</v>
      </c>
      <c r="D44" s="506" t="n">
        <v>46192</v>
      </c>
      <c r="E44" s="504" t="n"/>
      <c r="F44" s="504" t="n"/>
      <c r="G44" s="504" t="n"/>
      <c r="H44" s="504" t="n"/>
      <c r="I44" s="504" t="n"/>
      <c r="J44" s="504" t="n"/>
      <c r="K44" s="504" t="n"/>
      <c r="L44" s="504" t="n"/>
      <c r="M44" s="504" t="n"/>
      <c r="N44" s="504" t="n"/>
    </row>
    <row r="45" ht="15.75" customHeight="1" s="443">
      <c r="A45" s="501" t="inlineStr">
        <is>
          <t>2.2.6</t>
        </is>
      </c>
      <c r="B45" s="502" t="inlineStr">
        <is>
          <t>Sprint 16</t>
        </is>
      </c>
      <c r="C45" s="503" t="n">
        <v>46195</v>
      </c>
      <c r="D45" s="503" t="n">
        <v>46206</v>
      </c>
      <c r="E45" s="501" t="n"/>
      <c r="F45" s="501" t="n"/>
      <c r="G45" s="501" t="n"/>
      <c r="H45" s="501" t="n"/>
      <c r="I45" s="501" t="n"/>
      <c r="J45" s="501" t="n"/>
      <c r="K45" s="501" t="n"/>
      <c r="L45" s="501" t="n"/>
      <c r="M45" s="501" t="n"/>
      <c r="N45" s="501" t="n"/>
    </row>
    <row r="46" ht="15.75" customHeight="1" s="443">
      <c r="A46" s="504" t="inlineStr">
        <is>
          <t>2.2.6.1</t>
        </is>
      </c>
      <c r="B46" s="505" t="inlineStr">
        <is>
          <t>Avatar Customization Stores (Cosmetics)</t>
        </is>
      </c>
      <c r="C46" s="506" t="n">
        <v>46195</v>
      </c>
      <c r="D46" s="506" t="n">
        <v>46206</v>
      </c>
      <c r="E46" s="504" t="n"/>
      <c r="F46" s="504" t="n"/>
      <c r="G46" s="504" t="n"/>
      <c r="H46" s="504" t="n"/>
      <c r="I46" s="504" t="n"/>
      <c r="J46" s="504" t="n"/>
      <c r="K46" s="504" t="n"/>
      <c r="L46" s="504" t="n"/>
      <c r="M46" s="504" t="n"/>
      <c r="N46" s="504" t="n"/>
    </row>
    <row r="47" ht="15.75" customHeight="1" s="443">
      <c r="A47" s="501" t="inlineStr">
        <is>
          <t>2.2.7</t>
        </is>
      </c>
      <c r="B47" s="502" t="inlineStr">
        <is>
          <t>Sprint 17</t>
        </is>
      </c>
      <c r="C47" s="503" t="n">
        <v>46209</v>
      </c>
      <c r="D47" s="503" t="n">
        <v>46220</v>
      </c>
      <c r="E47" s="501" t="n"/>
      <c r="F47" s="501" t="n"/>
      <c r="G47" s="501" t="n"/>
      <c r="H47" s="501" t="n"/>
      <c r="I47" s="501" t="n"/>
      <c r="J47" s="501" t="n"/>
      <c r="K47" s="501" t="n"/>
      <c r="L47" s="501" t="n"/>
      <c r="M47" s="501" t="n"/>
      <c r="N47" s="501" t="n"/>
    </row>
    <row r="48" ht="15.75" customHeight="1" s="443">
      <c r="A48" s="504" t="inlineStr">
        <is>
          <t>2.2.7.1</t>
        </is>
      </c>
      <c r="B48" s="505" t="inlineStr">
        <is>
          <t>Arena Island Teleportation UI</t>
        </is>
      </c>
      <c r="C48" s="506" t="n">
        <v>46209</v>
      </c>
      <c r="D48" s="506" t="n">
        <v>46220</v>
      </c>
      <c r="E48" s="504" t="n"/>
      <c r="F48" s="504" t="n"/>
      <c r="G48" s="504" t="n"/>
      <c r="H48" s="504" t="n"/>
      <c r="I48" s="504" t="n"/>
      <c r="J48" s="504" t="n"/>
      <c r="K48" s="504" t="n"/>
      <c r="L48" s="504" t="n"/>
      <c r="M48" s="504" t="n"/>
      <c r="N48" s="504" t="n"/>
    </row>
    <row r="49" ht="15.75" customHeight="1" s="443">
      <c r="A49" s="501" t="inlineStr">
        <is>
          <t>2.2.8</t>
        </is>
      </c>
      <c r="B49" s="502" t="inlineStr">
        <is>
          <t>Sprint 18</t>
        </is>
      </c>
      <c r="C49" s="503" t="n">
        <v>46223</v>
      </c>
      <c r="D49" s="503" t="n">
        <v>46234</v>
      </c>
      <c r="E49" s="501" t="n"/>
      <c r="F49" s="501" t="n"/>
      <c r="G49" s="501" t="n"/>
      <c r="H49" s="501" t="n"/>
      <c r="I49" s="501" t="n"/>
      <c r="J49" s="501" t="n"/>
      <c r="K49" s="501" t="n"/>
      <c r="L49" s="501" t="n"/>
      <c r="M49" s="501" t="n"/>
      <c r="N49" s="501" t="n"/>
    </row>
    <row r="50" ht="15.75" customHeight="1" s="443">
      <c r="A50" s="504" t="inlineStr">
        <is>
          <t>2.2.8.1</t>
        </is>
      </c>
      <c r="B50" s="505" t="inlineStr">
        <is>
          <t>Minigame selection screen &amp; matchmaking</t>
        </is>
      </c>
      <c r="C50" s="506" t="n">
        <v>46223</v>
      </c>
      <c r="D50" s="506" t="n">
        <v>46234</v>
      </c>
      <c r="E50" s="504" t="n"/>
      <c r="F50" s="504" t="n"/>
      <c r="G50" s="504" t="n"/>
      <c r="H50" s="504" t="n"/>
      <c r="I50" s="504" t="n"/>
      <c r="J50" s="504" t="n"/>
      <c r="K50" s="504" t="n"/>
      <c r="L50" s="504" t="n"/>
      <c r="M50" s="504" t="n"/>
      <c r="N50" s="504" t="n"/>
    </row>
    <row r="51" ht="15.75" customHeight="1" s="443">
      <c r="A51" s="501" t="inlineStr">
        <is>
          <t>2.2.9</t>
        </is>
      </c>
      <c r="B51" s="502" t="inlineStr">
        <is>
          <t>Sprint 19</t>
        </is>
      </c>
      <c r="C51" s="503" t="n">
        <v>46237</v>
      </c>
      <c r="D51" s="503" t="n">
        <v>46248</v>
      </c>
      <c r="E51" s="501" t="n"/>
      <c r="F51" s="501" t="n"/>
      <c r="G51" s="501" t="n"/>
      <c r="H51" s="501" t="n"/>
      <c r="I51" s="501" t="n"/>
      <c r="J51" s="501" t="n"/>
      <c r="K51" s="501" t="n"/>
      <c r="L51" s="501" t="n"/>
      <c r="M51" s="501" t="n"/>
      <c r="N51" s="501" t="n"/>
    </row>
    <row r="52" ht="15.75" customHeight="1" s="443">
      <c r="A52" s="504" t="inlineStr">
        <is>
          <t>2.2.9.1</t>
        </is>
      </c>
      <c r="B52" s="505" t="inlineStr">
        <is>
          <t>Minigame: Knowledge Showdown Setup</t>
        </is>
      </c>
      <c r="C52" s="506" t="n">
        <v>46237</v>
      </c>
      <c r="D52" s="506" t="n">
        <v>46248</v>
      </c>
      <c r="E52" s="504" t="n"/>
      <c r="F52" s="504" t="n"/>
      <c r="G52" s="504" t="n"/>
      <c r="H52" s="504" t="n"/>
      <c r="I52" s="504" t="n"/>
      <c r="J52" s="504" t="n"/>
      <c r="K52" s="504" t="n"/>
      <c r="L52" s="504" t="n"/>
      <c r="M52" s="504" t="n"/>
      <c r="N52" s="504" t="n"/>
    </row>
    <row r="53" ht="15.75" customHeight="1" s="443">
      <c r="A53" s="498" t="inlineStr">
        <is>
          <t>2.3</t>
        </is>
      </c>
      <c r="B53" s="499" t="inlineStr">
        <is>
          <t>Milestone 3: Open Beta</t>
        </is>
      </c>
      <c r="C53" s="500" t="n">
        <v>46251</v>
      </c>
      <c r="D53" s="500" t="n">
        <v>46374</v>
      </c>
      <c r="E53" s="498" t="n"/>
      <c r="F53" s="498" t="n"/>
      <c r="G53" s="498" t="n"/>
      <c r="H53" s="498" t="n"/>
      <c r="I53" s="498" t="n"/>
      <c r="J53" s="498" t="n"/>
      <c r="K53" s="498" t="n"/>
      <c r="L53" s="498" t="n"/>
      <c r="M53" s="498" t="n"/>
      <c r="N53" s="498" t="n"/>
    </row>
    <row r="54" ht="15.75" customHeight="1" s="443">
      <c r="A54" s="501" t="inlineStr">
        <is>
          <t>2.3.1</t>
        </is>
      </c>
      <c r="B54" s="502" t="inlineStr">
        <is>
          <t>Sprint 20</t>
        </is>
      </c>
      <c r="C54" s="503" t="n">
        <v>46251</v>
      </c>
      <c r="D54" s="503" t="n">
        <v>46262</v>
      </c>
      <c r="E54" s="501" t="n"/>
      <c r="F54" s="501" t="n"/>
      <c r="G54" s="501" t="n"/>
      <c r="H54" s="501" t="n"/>
      <c r="I54" s="501" t="n"/>
      <c r="J54" s="501" t="n"/>
      <c r="K54" s="501" t="n"/>
      <c r="L54" s="501" t="n"/>
      <c r="M54" s="501" t="n"/>
      <c r="N54" s="501" t="n"/>
    </row>
    <row r="55" ht="15.75" customHeight="1" s="443">
      <c r="A55" s="504" t="inlineStr">
        <is>
          <t>2.3.1.1</t>
        </is>
      </c>
      <c r="B55" s="505" t="inlineStr">
        <is>
          <t>Minigame: Knowledge Showdown Content</t>
        </is>
      </c>
      <c r="C55" s="506" t="n">
        <v>46251</v>
      </c>
      <c r="D55" s="506" t="n">
        <v>46262</v>
      </c>
      <c r="E55" s="504" t="n"/>
      <c r="F55" s="504" t="n"/>
      <c r="G55" s="504" t="n"/>
      <c r="H55" s="504" t="n"/>
      <c r="I55" s="504" t="n"/>
      <c r="J55" s="504" t="n"/>
      <c r="K55" s="504" t="n"/>
      <c r="L55" s="504" t="n"/>
      <c r="M55" s="504" t="n"/>
      <c r="N55" s="504" t="n"/>
    </row>
    <row r="56" ht="15.75" customHeight="1" s="443">
      <c r="A56" s="501" t="inlineStr">
        <is>
          <t>2.3.2</t>
        </is>
      </c>
      <c r="B56" s="502" t="inlineStr">
        <is>
          <t>Sprint 21</t>
        </is>
      </c>
      <c r="C56" s="503" t="n">
        <v>46265</v>
      </c>
      <c r="D56" s="503" t="n">
        <v>46276</v>
      </c>
      <c r="E56" s="501" t="n"/>
      <c r="F56" s="509" t="n"/>
      <c r="G56" s="509" t="n"/>
      <c r="H56" s="509" t="n"/>
      <c r="I56" s="509" t="n"/>
      <c r="J56" s="509" t="n"/>
      <c r="K56" s="509" t="n"/>
      <c r="L56" s="509" t="n"/>
      <c r="M56" s="509" t="n"/>
      <c r="N56" s="509" t="n"/>
      <c r="O56" s="509" t="n"/>
      <c r="P56" s="509" t="n"/>
      <c r="Q56" s="509" t="n"/>
      <c r="R56" s="509" t="n"/>
      <c r="S56" s="509" t="n"/>
      <c r="T56" s="509" t="n"/>
      <c r="U56" s="509" t="n"/>
      <c r="V56" s="509" t="n"/>
      <c r="W56" s="509" t="n"/>
      <c r="X56" s="509" t="n"/>
      <c r="Y56" s="509" t="n"/>
      <c r="Z56" s="509" t="n"/>
      <c r="AA56" s="509" t="n"/>
      <c r="AB56" s="509" t="n"/>
      <c r="AC56" s="509" t="n"/>
      <c r="AD56" s="509" t="n"/>
      <c r="AE56" s="509" t="n"/>
      <c r="AF56" s="509" t="n"/>
      <c r="AG56" s="509" t="n"/>
      <c r="AH56" s="509" t="n"/>
      <c r="AI56" s="509" t="n"/>
      <c r="AJ56" s="509" t="n"/>
      <c r="AK56" s="509" t="n"/>
      <c r="AL56" s="510" t="n"/>
    </row>
    <row r="57">
      <c r="A57" s="504" t="inlineStr">
        <is>
          <t>2.3.2.1</t>
        </is>
      </c>
      <c r="B57" s="505" t="inlineStr">
        <is>
          <t>Minigame: Logic Castle Setup</t>
        </is>
      </c>
      <c r="C57" s="506" t="n">
        <v>46265</v>
      </c>
      <c r="D57" s="506" t="n">
        <v>46276</v>
      </c>
      <c r="E57" s="504" t="n"/>
      <c r="F57" s="504" t="n"/>
      <c r="G57" s="504" t="n"/>
      <c r="H57" s="504" t="n"/>
      <c r="I57" s="504" t="n"/>
      <c r="J57" s="504" t="n"/>
      <c r="K57" s="504" t="n"/>
      <c r="L57" s="504" t="n"/>
      <c r="M57" s="504" t="n"/>
      <c r="N57" s="504" t="n"/>
    </row>
    <row r="58">
      <c r="A58" s="501" t="inlineStr">
        <is>
          <t>2.3.3</t>
        </is>
      </c>
      <c r="B58" s="502" t="inlineStr">
        <is>
          <t>Sprint 22</t>
        </is>
      </c>
      <c r="C58" s="503" t="n">
        <v>46279</v>
      </c>
      <c r="D58" s="503" t="n">
        <v>46290</v>
      </c>
      <c r="E58" s="501" t="n"/>
      <c r="F58" s="501" t="n"/>
      <c r="G58" s="501" t="n"/>
      <c r="H58" s="501" t="n"/>
      <c r="I58" s="501" t="n"/>
      <c r="J58" s="501" t="n"/>
      <c r="K58" s="501" t="n"/>
      <c r="L58" s="501" t="n"/>
      <c r="M58" s="501" t="n"/>
      <c r="N58" s="501" t="n"/>
    </row>
    <row r="59">
      <c r="A59" s="504" t="inlineStr">
        <is>
          <t>2.3.3.1</t>
        </is>
      </c>
      <c r="B59" s="505" t="inlineStr">
        <is>
          <t>Minigame: Logic Castle Content</t>
        </is>
      </c>
      <c r="C59" s="506" t="n">
        <v>46279</v>
      </c>
      <c r="D59" s="506" t="n">
        <v>46290</v>
      </c>
      <c r="E59" s="504" t="n"/>
      <c r="F59" s="504" t="n"/>
      <c r="G59" s="504" t="n"/>
      <c r="H59" s="504" t="n"/>
      <c r="I59" s="504" t="n"/>
      <c r="J59" s="504" t="n"/>
      <c r="K59" s="504" t="n"/>
      <c r="L59" s="504" t="n"/>
      <c r="M59" s="504" t="n"/>
      <c r="N59" s="504" t="n"/>
    </row>
    <row r="60">
      <c r="A60" s="501" t="inlineStr">
        <is>
          <t>2.3.4</t>
        </is>
      </c>
      <c r="B60" s="502" t="inlineStr">
        <is>
          <t>Sprint 23</t>
        </is>
      </c>
      <c r="C60" s="503" t="n">
        <v>46293</v>
      </c>
      <c r="D60" s="503" t="n">
        <v>46304</v>
      </c>
      <c r="E60" s="501" t="n"/>
      <c r="F60" s="501" t="n"/>
      <c r="G60" s="501" t="n"/>
      <c r="H60" s="501" t="n"/>
      <c r="I60" s="501" t="n"/>
      <c r="J60" s="501" t="n"/>
      <c r="K60" s="501" t="n"/>
      <c r="L60" s="501" t="n"/>
      <c r="M60" s="501" t="n"/>
      <c r="N60" s="501" t="n"/>
    </row>
    <row r="61">
      <c r="A61" s="504" t="inlineStr">
        <is>
          <t>2.3.4.1</t>
        </is>
      </c>
      <c r="B61" s="505" t="inlineStr">
        <is>
          <t>Minigame: Creative Pavillion Setup</t>
        </is>
      </c>
      <c r="C61" s="506" t="n">
        <v>46293</v>
      </c>
      <c r="D61" s="506" t="n">
        <v>46304</v>
      </c>
      <c r="E61" s="504" t="n"/>
      <c r="F61" s="504" t="n"/>
      <c r="G61" s="504" t="n"/>
      <c r="H61" s="504" t="n"/>
      <c r="I61" s="504" t="n"/>
      <c r="J61" s="504" t="n"/>
      <c r="K61" s="504" t="n"/>
      <c r="L61" s="504" t="n"/>
      <c r="M61" s="504" t="n"/>
      <c r="N61" s="504" t="n"/>
    </row>
    <row r="62">
      <c r="A62" s="501" t="inlineStr">
        <is>
          <t>2.3.5</t>
        </is>
      </c>
      <c r="B62" s="502" t="inlineStr">
        <is>
          <t>Sprint 24</t>
        </is>
      </c>
      <c r="C62" s="503" t="n">
        <v>46307</v>
      </c>
      <c r="D62" s="503" t="n">
        <v>46318</v>
      </c>
      <c r="E62" s="501" t="n"/>
      <c r="F62" s="501" t="n"/>
      <c r="G62" s="501" t="n"/>
      <c r="H62" s="501" t="n"/>
      <c r="I62" s="501" t="n"/>
      <c r="J62" s="501" t="n"/>
      <c r="K62" s="501" t="n"/>
      <c r="L62" s="501" t="n"/>
      <c r="M62" s="501" t="n"/>
      <c r="N62" s="501" t="n"/>
    </row>
    <row r="63">
      <c r="A63" s="504" t="inlineStr">
        <is>
          <t>2.3.5.1</t>
        </is>
      </c>
      <c r="B63" s="505" t="inlineStr">
        <is>
          <t>Minigame: Creative Pavillion Content</t>
        </is>
      </c>
      <c r="C63" s="506" t="n">
        <v>46307</v>
      </c>
      <c r="D63" s="506" t="n">
        <v>46318</v>
      </c>
      <c r="E63" s="504" t="n"/>
      <c r="F63" s="504" t="n"/>
      <c r="G63" s="504" t="n"/>
      <c r="H63" s="504" t="n"/>
      <c r="I63" s="504" t="n"/>
      <c r="J63" s="504" t="n"/>
      <c r="K63" s="504" t="n"/>
      <c r="L63" s="504" t="n"/>
      <c r="M63" s="504" t="n"/>
      <c r="N63" s="504" t="n"/>
    </row>
    <row r="64">
      <c r="A64" s="501" t="inlineStr">
        <is>
          <t>2.3.6</t>
        </is>
      </c>
      <c r="B64" s="502" t="inlineStr">
        <is>
          <t>Sprint 25</t>
        </is>
      </c>
      <c r="C64" s="503" t="n">
        <v>46321</v>
      </c>
      <c r="D64" s="503" t="n">
        <v>46332</v>
      </c>
      <c r="E64" s="501" t="n"/>
      <c r="F64" s="501" t="n"/>
      <c r="G64" s="501" t="n"/>
      <c r="H64" s="501" t="n"/>
      <c r="I64" s="501" t="n"/>
      <c r="J64" s="501" t="n"/>
      <c r="K64" s="501" t="n"/>
      <c r="L64" s="501" t="n"/>
      <c r="M64" s="501" t="n"/>
      <c r="N64" s="501" t="n"/>
    </row>
    <row r="65">
      <c r="A65" s="504" t="inlineStr">
        <is>
          <t>2.3.6.1</t>
        </is>
      </c>
      <c r="B65" s="505" t="inlineStr">
        <is>
          <t>Minigame: Synergy Field Setup</t>
        </is>
      </c>
      <c r="C65" s="506" t="n">
        <v>46321</v>
      </c>
      <c r="D65" s="506" t="n">
        <v>46332</v>
      </c>
      <c r="E65" s="504" t="n"/>
      <c r="F65" s="504" t="n"/>
      <c r="G65" s="504" t="n"/>
      <c r="H65" s="504" t="n"/>
      <c r="I65" s="504" t="n"/>
      <c r="J65" s="504" t="n"/>
      <c r="K65" s="504" t="n"/>
      <c r="L65" s="504" t="n"/>
      <c r="M65" s="504" t="n"/>
      <c r="N65" s="504" t="n"/>
    </row>
    <row r="66">
      <c r="A66" s="501" t="inlineStr">
        <is>
          <t>2.3.7</t>
        </is>
      </c>
      <c r="B66" s="502" t="inlineStr">
        <is>
          <t>Sprint 26</t>
        </is>
      </c>
      <c r="C66" s="503" t="n">
        <v>46335</v>
      </c>
      <c r="D66" s="503" t="n">
        <v>46346</v>
      </c>
      <c r="E66" s="501" t="n"/>
      <c r="F66" s="501" t="n"/>
      <c r="G66" s="501" t="n"/>
      <c r="H66" s="501" t="n"/>
      <c r="I66" s="501" t="n"/>
      <c r="J66" s="501" t="n"/>
      <c r="K66" s="501" t="n"/>
      <c r="L66" s="501" t="n"/>
      <c r="M66" s="501" t="n"/>
      <c r="N66" s="501" t="n"/>
    </row>
    <row r="67">
      <c r="A67" s="504" t="inlineStr">
        <is>
          <t>2.3.7.1</t>
        </is>
      </c>
      <c r="B67" s="505" t="inlineStr">
        <is>
          <t>Minigame: Synergy Field Content</t>
        </is>
      </c>
      <c r="C67" s="506" t="n">
        <v>46335</v>
      </c>
      <c r="D67" s="506" t="n">
        <v>46346</v>
      </c>
      <c r="E67" s="504" t="n"/>
      <c r="F67" s="504" t="n"/>
      <c r="G67" s="504" t="n"/>
      <c r="H67" s="504" t="n"/>
      <c r="I67" s="504" t="n"/>
      <c r="J67" s="504" t="n"/>
      <c r="K67" s="504" t="n"/>
      <c r="L67" s="504" t="n"/>
      <c r="M67" s="504" t="n"/>
      <c r="N67" s="504" t="n"/>
    </row>
    <row r="68">
      <c r="A68" s="501" t="inlineStr">
        <is>
          <t>2.3.8</t>
        </is>
      </c>
      <c r="B68" s="502" t="inlineStr">
        <is>
          <t>Sprint 27</t>
        </is>
      </c>
      <c r="C68" s="503" t="n">
        <v>46349</v>
      </c>
      <c r="D68" s="503" t="n">
        <v>46360</v>
      </c>
      <c r="E68" s="501" t="n"/>
      <c r="F68" s="501" t="n"/>
      <c r="G68" s="501" t="n"/>
      <c r="H68" s="501" t="n"/>
      <c r="I68" s="501" t="n"/>
      <c r="J68" s="501" t="n"/>
      <c r="K68" s="501" t="n"/>
      <c r="L68" s="501" t="n"/>
      <c r="M68" s="501" t="n"/>
      <c r="N68" s="501" t="n"/>
    </row>
    <row r="69">
      <c r="A69" s="504" t="inlineStr">
        <is>
          <t>2.3.8.1</t>
        </is>
      </c>
      <c r="B69" s="505" t="inlineStr">
        <is>
          <t>Minigame: Palace of Emotions Setup</t>
        </is>
      </c>
      <c r="C69" s="506" t="n">
        <v>46349</v>
      </c>
      <c r="D69" s="506" t="n">
        <v>46360</v>
      </c>
      <c r="E69" s="504" t="n"/>
      <c r="F69" s="504" t="n"/>
      <c r="G69" s="504" t="n"/>
      <c r="H69" s="504" t="n"/>
      <c r="I69" s="504" t="n"/>
      <c r="J69" s="504" t="n"/>
      <c r="K69" s="504" t="n"/>
      <c r="L69" s="504" t="n"/>
      <c r="M69" s="504" t="n"/>
      <c r="N69" s="504" t="n"/>
    </row>
    <row r="70">
      <c r="A70" s="501" t="inlineStr">
        <is>
          <t>2.3.9</t>
        </is>
      </c>
      <c r="B70" s="502" t="inlineStr">
        <is>
          <t>Sprint 28</t>
        </is>
      </c>
      <c r="C70" s="503" t="n">
        <v>46363</v>
      </c>
      <c r="D70" s="503" t="n">
        <v>46374</v>
      </c>
      <c r="E70" s="501" t="n"/>
      <c r="F70" s="501" t="n"/>
      <c r="G70" s="501" t="n"/>
      <c r="H70" s="501" t="n"/>
      <c r="I70" s="501" t="n"/>
      <c r="J70" s="501" t="n"/>
      <c r="K70" s="501" t="n"/>
      <c r="L70" s="501" t="n"/>
      <c r="M70" s="501" t="n"/>
      <c r="N70" s="501" t="n"/>
    </row>
    <row r="71">
      <c r="A71" s="504" t="inlineStr">
        <is>
          <t>2.3.9.1</t>
        </is>
      </c>
      <c r="B71" s="505" t="inlineStr">
        <is>
          <t>Minigame: Palace of Emotions Content</t>
        </is>
      </c>
      <c r="C71" s="506" t="n">
        <v>46363</v>
      </c>
      <c r="D71" s="506" t="n">
        <v>46374</v>
      </c>
      <c r="E71" s="504" t="n"/>
      <c r="F71" s="504" t="n"/>
      <c r="G71" s="504" t="n"/>
      <c r="H71" s="504" t="n"/>
      <c r="I71" s="504" t="n"/>
      <c r="J71" s="504" t="n"/>
      <c r="K71" s="504" t="n"/>
      <c r="L71" s="504" t="n"/>
      <c r="M71" s="504" t="n"/>
      <c r="N71" s="504" t="n"/>
    </row>
    <row r="72">
      <c r="A72" s="498" t="inlineStr">
        <is>
          <t>2.4</t>
        </is>
      </c>
      <c r="B72" s="499" t="inlineStr">
        <is>
          <t>Milestone 4: General Availability</t>
        </is>
      </c>
      <c r="C72" s="500" t="n">
        <v>46377</v>
      </c>
      <c r="D72" s="500" t="n">
        <v>46486</v>
      </c>
      <c r="E72" s="498" t="n"/>
      <c r="F72" s="498" t="n"/>
      <c r="G72" s="498" t="n"/>
      <c r="H72" s="498" t="n"/>
      <c r="I72" s="498" t="n"/>
      <c r="J72" s="498" t="n"/>
      <c r="K72" s="498" t="n"/>
      <c r="L72" s="498" t="n"/>
      <c r="M72" s="498" t="n"/>
      <c r="N72" s="498" t="n"/>
    </row>
    <row r="73">
      <c r="A73" s="501" t="inlineStr">
        <is>
          <t>2.4.1</t>
        </is>
      </c>
      <c r="B73" s="502" t="inlineStr">
        <is>
          <t>Sprint 29</t>
        </is>
      </c>
      <c r="C73" s="503" t="n">
        <v>46377</v>
      </c>
      <c r="D73" s="503" t="n">
        <v>46388</v>
      </c>
      <c r="E73" s="501" t="n"/>
      <c r="F73" s="501" t="n"/>
      <c r="G73" s="501" t="n"/>
      <c r="H73" s="501" t="n"/>
      <c r="I73" s="501" t="n"/>
      <c r="J73" s="501" t="n"/>
      <c r="K73" s="501" t="n"/>
      <c r="L73" s="501" t="n"/>
      <c r="M73" s="501" t="n"/>
      <c r="N73" s="501" t="n"/>
    </row>
    <row r="74">
      <c r="A74" s="504" t="inlineStr">
        <is>
          <t>2.4.1.1</t>
        </is>
      </c>
      <c r="B74" s="505" t="inlineStr">
        <is>
          <t>Emotion Collection &amp; Leaderboard System</t>
        </is>
      </c>
      <c r="C74" s="506" t="n">
        <v>46377</v>
      </c>
      <c r="D74" s="506" t="n">
        <v>46388</v>
      </c>
      <c r="E74" s="504" t="n"/>
      <c r="F74" s="504" t="n"/>
      <c r="G74" s="504" t="n"/>
      <c r="H74" s="504" t="n"/>
      <c r="I74" s="504" t="n"/>
      <c r="J74" s="504" t="n"/>
      <c r="K74" s="504" t="n"/>
      <c r="L74" s="504" t="n"/>
      <c r="M74" s="504" t="n"/>
      <c r="N74" s="504" t="n"/>
    </row>
    <row r="75">
      <c r="A75" s="501" t="inlineStr">
        <is>
          <t>2.4.2</t>
        </is>
      </c>
      <c r="B75" s="502" t="inlineStr">
        <is>
          <t>Sprint 30</t>
        </is>
      </c>
      <c r="C75" s="503" t="n">
        <v>46391</v>
      </c>
      <c r="D75" s="503" t="n">
        <v>46402</v>
      </c>
      <c r="E75" s="501" t="n"/>
      <c r="F75" s="501" t="n"/>
      <c r="G75" s="501" t="n"/>
      <c r="H75" s="501" t="n"/>
      <c r="I75" s="501" t="n"/>
      <c r="J75" s="501" t="n"/>
      <c r="K75" s="501" t="n"/>
      <c r="L75" s="501" t="n"/>
      <c r="M75" s="501" t="n"/>
      <c r="N75" s="501" t="n"/>
    </row>
    <row r="76">
      <c r="A76" s="504" t="inlineStr">
        <is>
          <t>2.4.2.1</t>
        </is>
      </c>
      <c r="B76" s="505" t="inlineStr">
        <is>
          <t>Closed Beta: Pilot Event Tracker</t>
        </is>
      </c>
      <c r="C76" s="506" t="n">
        <v>46391</v>
      </c>
      <c r="D76" s="506" t="n">
        <v>46402</v>
      </c>
      <c r="E76" s="504" t="n"/>
      <c r="F76" s="504" t="n"/>
      <c r="G76" s="504" t="n"/>
      <c r="H76" s="504" t="n"/>
      <c r="I76" s="504" t="n"/>
      <c r="J76" s="504" t="n"/>
      <c r="K76" s="504" t="n"/>
      <c r="L76" s="504" t="n"/>
      <c r="M76" s="504" t="n"/>
      <c r="N76" s="504" t="n"/>
    </row>
    <row r="77">
      <c r="A77" s="501" t="inlineStr">
        <is>
          <t>2.4.3</t>
        </is>
      </c>
      <c r="B77" s="502" t="inlineStr">
        <is>
          <t>Sprint 31</t>
        </is>
      </c>
      <c r="C77" s="503" t="n">
        <v>46405</v>
      </c>
      <c r="D77" s="503" t="n">
        <v>46416</v>
      </c>
      <c r="E77" s="501" t="n"/>
      <c r="F77" s="501" t="n"/>
      <c r="G77" s="501" t="n"/>
      <c r="H77" s="501" t="n"/>
      <c r="I77" s="501" t="n"/>
      <c r="J77" s="501" t="n"/>
      <c r="K77" s="501" t="n"/>
      <c r="L77" s="501" t="n"/>
      <c r="M77" s="501" t="n"/>
      <c r="N77" s="501" t="n"/>
    </row>
    <row r="78">
      <c r="A78" s="504" t="inlineStr">
        <is>
          <t>2.4.3.1</t>
        </is>
      </c>
      <c r="B78" s="505" t="inlineStr">
        <is>
          <t>Closed Beta: Load Testing infra</t>
        </is>
      </c>
      <c r="C78" s="506" t="n">
        <v>46405</v>
      </c>
      <c r="D78" s="506" t="n">
        <v>46416</v>
      </c>
      <c r="E78" s="504" t="n"/>
      <c r="F78" s="504" t="n"/>
      <c r="G78" s="504" t="n"/>
      <c r="H78" s="504" t="n"/>
      <c r="I78" s="504" t="n"/>
      <c r="J78" s="504" t="n"/>
      <c r="K78" s="504" t="n"/>
      <c r="L78" s="504" t="n"/>
      <c r="M78" s="504" t="n"/>
      <c r="N78" s="504" t="n"/>
    </row>
    <row r="79">
      <c r="A79" s="501" t="inlineStr">
        <is>
          <t>2.4.4</t>
        </is>
      </c>
      <c r="B79" s="502" t="inlineStr">
        <is>
          <t>Sprint 32</t>
        </is>
      </c>
      <c r="C79" s="503" t="n">
        <v>46419</v>
      </c>
      <c r="D79" s="503" t="n">
        <v>46430</v>
      </c>
      <c r="E79" s="501" t="n"/>
      <c r="F79" s="501" t="n"/>
      <c r="G79" s="501" t="n"/>
      <c r="H79" s="501" t="n"/>
      <c r="I79" s="501" t="n"/>
      <c r="J79" s="501" t="n"/>
      <c r="K79" s="501" t="n"/>
      <c r="L79" s="501" t="n"/>
      <c r="M79" s="501" t="n"/>
      <c r="N79" s="501" t="n"/>
    </row>
    <row r="80">
      <c r="A80" s="504" t="inlineStr">
        <is>
          <t>2.4.4.1</t>
        </is>
      </c>
      <c r="B80" s="505" t="inlineStr">
        <is>
          <t>Open Beta: Bug Fixes &amp; Adjustments</t>
        </is>
      </c>
      <c r="C80" s="506" t="n">
        <v>46419</v>
      </c>
      <c r="D80" s="506" t="n">
        <v>46430</v>
      </c>
      <c r="E80" s="504" t="n"/>
      <c r="F80" s="504" t="n"/>
      <c r="G80" s="504" t="n"/>
      <c r="H80" s="504" t="n"/>
      <c r="I80" s="504" t="n"/>
      <c r="J80" s="504" t="n"/>
      <c r="K80" s="504" t="n"/>
      <c r="L80" s="504" t="n"/>
      <c r="M80" s="504" t="n"/>
      <c r="N80" s="504" t="n"/>
    </row>
    <row r="81">
      <c r="A81" s="501" t="inlineStr">
        <is>
          <t>2.4.5</t>
        </is>
      </c>
      <c r="B81" s="502" t="inlineStr">
        <is>
          <t>Sprint 33</t>
        </is>
      </c>
      <c r="C81" s="503" t="n">
        <v>46433</v>
      </c>
      <c r="D81" s="503" t="n">
        <v>46444</v>
      </c>
      <c r="E81" s="501" t="n"/>
      <c r="F81" s="501" t="n"/>
      <c r="G81" s="501" t="n"/>
      <c r="H81" s="501" t="n"/>
      <c r="I81" s="501" t="n"/>
      <c r="J81" s="501" t="n"/>
      <c r="K81" s="501" t="n"/>
      <c r="L81" s="501" t="n"/>
      <c r="M81" s="501" t="n"/>
      <c r="N81" s="501" t="n"/>
    </row>
    <row r="82">
      <c r="A82" s="504" t="inlineStr">
        <is>
          <t>2.4.5.1</t>
        </is>
      </c>
      <c r="B82" s="505" t="inlineStr">
        <is>
          <t>Open Beta: Social Sharing API</t>
        </is>
      </c>
      <c r="C82" s="506" t="n">
        <v>46433</v>
      </c>
      <c r="D82" s="506" t="n">
        <v>46444</v>
      </c>
      <c r="E82" s="504" t="n"/>
      <c r="F82" s="504" t="n"/>
      <c r="G82" s="504" t="n"/>
      <c r="H82" s="504" t="n"/>
      <c r="I82" s="504" t="n"/>
      <c r="J82" s="504" t="n"/>
      <c r="K82" s="504" t="n"/>
      <c r="L82" s="504" t="n"/>
      <c r="M82" s="504" t="n"/>
      <c r="N82" s="504" t="n"/>
    </row>
    <row r="83">
      <c r="A83" s="501" t="inlineStr">
        <is>
          <t>2.4.6</t>
        </is>
      </c>
      <c r="B83" s="502" t="inlineStr">
        <is>
          <t>Sprint 34</t>
        </is>
      </c>
      <c r="C83" s="503" t="n">
        <v>46447</v>
      </c>
      <c r="D83" s="503" t="n">
        <v>46458</v>
      </c>
      <c r="E83" s="501" t="n"/>
      <c r="F83" s="501" t="n"/>
      <c r="G83" s="501" t="n"/>
      <c r="H83" s="501" t="n"/>
      <c r="I83" s="501" t="n"/>
      <c r="J83" s="501" t="n"/>
      <c r="K83" s="501" t="n"/>
      <c r="L83" s="501" t="n"/>
      <c r="M83" s="501" t="n"/>
      <c r="N83" s="501" t="n"/>
    </row>
    <row r="84">
      <c r="A84" s="504" t="inlineStr">
        <is>
          <t>2.4.6.1</t>
        </is>
      </c>
      <c r="B84" s="505" t="inlineStr">
        <is>
          <t>Global: Android &amp; iOS Port deployment</t>
        </is>
      </c>
      <c r="C84" s="506" t="n">
        <v>46447</v>
      </c>
      <c r="D84" s="506" t="n">
        <v>46458</v>
      </c>
      <c r="E84" s="504" t="n"/>
      <c r="F84" s="504" t="n"/>
      <c r="G84" s="504" t="n"/>
      <c r="H84" s="504" t="n"/>
      <c r="I84" s="504" t="n"/>
      <c r="J84" s="504" t="n"/>
      <c r="K84" s="504" t="n"/>
      <c r="L84" s="504" t="n"/>
      <c r="M84" s="504" t="n"/>
      <c r="N84" s="504" t="n"/>
    </row>
    <row r="85">
      <c r="A85" s="501" t="inlineStr">
        <is>
          <t>2.4.7</t>
        </is>
      </c>
      <c r="B85" s="502" t="inlineStr">
        <is>
          <t>Sprint 35</t>
        </is>
      </c>
      <c r="C85" s="503" t="n">
        <v>46461</v>
      </c>
      <c r="D85" s="503" t="n">
        <v>46472</v>
      </c>
      <c r="E85" s="501" t="n"/>
      <c r="F85" s="501" t="n"/>
      <c r="G85" s="501" t="n"/>
      <c r="H85" s="501" t="n"/>
      <c r="I85" s="501" t="n"/>
      <c r="J85" s="501" t="n"/>
      <c r="K85" s="501" t="n"/>
      <c r="L85" s="501" t="n"/>
      <c r="M85" s="501" t="n"/>
      <c r="N85" s="501" t="n"/>
    </row>
    <row r="86">
      <c r="A86" s="504" t="inlineStr">
        <is>
          <t>2.4.7.1</t>
        </is>
      </c>
      <c r="B86" s="505" t="inlineStr">
        <is>
          <t>Global: Game Balance &amp; Monetization</t>
        </is>
      </c>
      <c r="C86" s="506" t="n">
        <v>46461</v>
      </c>
      <c r="D86" s="506" t="n">
        <v>46472</v>
      </c>
      <c r="E86" s="504" t="n"/>
      <c r="F86" s="504" t="n"/>
      <c r="G86" s="504" t="n"/>
      <c r="H86" s="504" t="n"/>
      <c r="I86" s="504" t="n"/>
      <c r="J86" s="504" t="n"/>
      <c r="K86" s="504" t="n"/>
      <c r="L86" s="504" t="n"/>
      <c r="M86" s="504" t="n"/>
      <c r="N86" s="504" t="n"/>
    </row>
    <row r="87">
      <c r="A87" s="501" t="inlineStr">
        <is>
          <t>2.4.8</t>
        </is>
      </c>
      <c r="B87" s="502" t="inlineStr">
        <is>
          <t>Sprint 36</t>
        </is>
      </c>
      <c r="C87" s="503" t="n">
        <v>46475</v>
      </c>
      <c r="D87" s="503" t="n">
        <v>46486</v>
      </c>
      <c r="E87" s="501" t="n"/>
      <c r="F87" s="501" t="n"/>
      <c r="G87" s="501" t="n"/>
      <c r="H87" s="501" t="n"/>
      <c r="I87" s="501" t="n"/>
      <c r="J87" s="501" t="n"/>
      <c r="K87" s="501" t="n"/>
      <c r="L87" s="501" t="n"/>
      <c r="M87" s="501" t="n"/>
      <c r="N87" s="501" t="n"/>
    </row>
    <row r="88">
      <c r="A88" s="504" t="inlineStr">
        <is>
          <t>2.4.8.1</t>
        </is>
      </c>
      <c r="B88" s="505" t="inlineStr">
        <is>
          <t>Global: Final Security &amp; LiveOps Setup</t>
        </is>
      </c>
      <c r="C88" s="506" t="n">
        <v>46475</v>
      </c>
      <c r="D88" s="506" t="n">
        <v>46486</v>
      </c>
      <c r="E88" s="504" t="n"/>
      <c r="F88" s="504" t="n"/>
      <c r="G88" s="504" t="n"/>
      <c r="H88" s="504" t="n"/>
      <c r="I88" s="504" t="n"/>
      <c r="J88" s="504" t="n"/>
      <c r="K88" s="504" t="n"/>
      <c r="L88" s="504" t="n"/>
      <c r="M88" s="504" t="n"/>
      <c r="N88" s="504" t="n"/>
    </row>
  </sheetData>
  <mergeCells count="11">
    <mergeCell ref="Y4:AC4"/>
    <mergeCell ref="H4:K4"/>
    <mergeCell ref="AD4:AG4"/>
    <mergeCell ref="Q4:T4"/>
    <mergeCell ref="U4:X4"/>
    <mergeCell ref="AH4:AK4"/>
    <mergeCell ref="B2:R2"/>
    <mergeCell ref="S2:AI2"/>
    <mergeCell ref="L4:O4"/>
    <mergeCell ref="E4:G4"/>
    <mergeCell ref="E56:AL56"/>
  </mergeCells>
  <conditionalFormatting sqref="E7:AZ55">
    <cfRule type="expression" priority="1" dxfId="5">
      <formula>AND(ISDATE($C7), ISDATE($D7), $C7 &lt;= E$6 + 6, $D7 &gt;= E$6)</formula>
    </cfRule>
  </conditionalFormatting>
  <pageMargins left="0.7" right="0.7" top="0.75" bottom="0.75" header="0" footer="0"/>
  <pageSetup orientation="landscape"/>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outlinePr summaryBelow="0" summaryRight="0"/>
    <pageSetUpPr/>
  </sheetPr>
  <dimension ref="A1:O17"/>
  <sheetViews>
    <sheetView workbookViewId="0">
      <selection activeCell="A1" sqref="A1"/>
    </sheetView>
  </sheetViews>
  <sheetFormatPr baseColWidth="8" defaultColWidth="12.63" defaultRowHeight="15" customHeight="1"/>
  <cols>
    <col width="15" customWidth="1" style="443" min="1" max="1"/>
    <col width="70" customWidth="1" style="443" min="2" max="2"/>
    <col width="25" customWidth="1" style="443" min="3" max="3"/>
    <col width="15" customWidth="1" style="443" min="4" max="4"/>
    <col width="15" customWidth="1" style="443" min="5" max="5"/>
    <col width="15" customWidth="1" style="443" min="6" max="6"/>
  </cols>
  <sheetData>
    <row r="1" ht="5.25" customHeight="1" s="443">
      <c r="A1" s="165" t="n"/>
      <c r="B1" s="166" t="n"/>
      <c r="C1" s="166" t="n"/>
      <c r="D1" s="166" t="n"/>
      <c r="E1" s="166" t="n"/>
      <c r="F1" s="167" t="n"/>
      <c r="G1" s="204" t="n"/>
      <c r="H1" s="204" t="n"/>
      <c r="I1" s="204" t="n"/>
      <c r="J1" s="204" t="n"/>
      <c r="K1" s="204" t="n"/>
      <c r="L1" s="204" t="n"/>
      <c r="M1" s="204" t="n"/>
      <c r="N1" s="204" t="n"/>
      <c r="O1" s="204" t="n"/>
    </row>
    <row r="2" ht="59.25" customHeight="1" s="443">
      <c r="A2" s="459" t="inlineStr">
        <is>
          <t xml:space="preserve">KẾ HOẠCH CHI TIẾT/ DETAIL SCHEDULE </t>
        </is>
      </c>
      <c r="B2" s="446" t="n"/>
      <c r="C2" s="446" t="n"/>
      <c r="D2" s="460" t="n"/>
      <c r="E2" s="461" t="n"/>
      <c r="F2" s="447" t="n"/>
      <c r="G2" s="174" t="n"/>
      <c r="H2" s="175" t="n"/>
      <c r="K2" s="239" t="n"/>
    </row>
    <row r="3">
      <c r="A3" s="177" t="inlineStr">
        <is>
          <t>Task ID</t>
        </is>
      </c>
      <c r="B3" s="178" t="inlineStr">
        <is>
          <t>Task</t>
        </is>
      </c>
      <c r="C3" s="178" t="inlineStr">
        <is>
          <t>Role</t>
        </is>
      </c>
      <c r="D3" s="178" t="inlineStr">
        <is>
          <t>Start Date</t>
        </is>
      </c>
      <c r="E3" s="178" t="inlineStr">
        <is>
          <t>End Date</t>
        </is>
      </c>
      <c r="F3" s="179" t="inlineStr">
        <is>
          <t>Effort Đề Xuất (MM)</t>
        </is>
      </c>
      <c r="G3" s="180" t="n"/>
      <c r="H3" s="180" t="n"/>
      <c r="I3" s="180" t="n"/>
      <c r="J3" s="180" t="n"/>
      <c r="K3" s="180" t="n"/>
      <c r="L3" s="180" t="n"/>
      <c r="M3" s="180" t="n"/>
      <c r="N3" s="180" t="n"/>
      <c r="O3" s="180" t="n"/>
    </row>
    <row r="4">
      <c r="A4" s="181" t="n">
        <v>1</v>
      </c>
      <c r="B4" s="181" t="inlineStr">
        <is>
          <t>Milestone 0</t>
        </is>
      </c>
      <c r="C4" s="182" t="n"/>
      <c r="D4" s="183">
        <f>'2.Master Schedule'!C7</f>
        <v/>
      </c>
      <c r="E4" s="183">
        <f>'2.Master Schedule'!D7</f>
        <v/>
      </c>
      <c r="F4" s="184">
        <f>F5</f>
        <v/>
      </c>
      <c r="G4" s="185" t="n"/>
      <c r="H4" s="186" t="n"/>
      <c r="I4" s="186" t="n"/>
      <c r="J4" s="186" t="n"/>
      <c r="K4" s="186" t="n"/>
      <c r="L4" s="186" t="n"/>
      <c r="M4" s="186" t="n"/>
    </row>
    <row r="5">
      <c r="A5" s="187" t="n">
        <v>1.1</v>
      </c>
      <c r="B5" s="188" t="inlineStr">
        <is>
          <t>Researching &amp; Planning</t>
        </is>
      </c>
      <c r="C5" s="189" t="n"/>
      <c r="D5" s="190">
        <f>'2.Master Schedule'!C7</f>
        <v/>
      </c>
      <c r="E5" s="190">
        <f>'2.Master Schedule'!D7</f>
        <v/>
      </c>
      <c r="F5" s="203">
        <f>SUM(F6:F16)</f>
        <v/>
      </c>
      <c r="G5" s="192" t="n"/>
      <c r="H5" s="204" t="n"/>
      <c r="I5" s="204" t="n"/>
      <c r="J5" s="204" t="n"/>
      <c r="K5" s="204" t="n"/>
      <c r="L5" s="204" t="n"/>
      <c r="M5" s="204" t="n"/>
    </row>
    <row r="6">
      <c r="A6" s="193" t="inlineStr">
        <is>
          <t>1.1.1</t>
        </is>
      </c>
      <c r="B6" s="194" t="inlineStr">
        <is>
          <t>Define project goals, strategic direction, and approve overall scope for the upcoming phases</t>
        </is>
      </c>
      <c r="C6" s="194" t="inlineStr">
        <is>
          <t>Project Director</t>
        </is>
      </c>
      <c r="D6" s="195">
        <f>'2.Master Schedule'!C16</f>
        <v/>
      </c>
      <c r="E6" s="195">
        <f>'2.Master Schedule'!D16</f>
        <v/>
      </c>
      <c r="F6" s="196">
        <f>IFERROR(__xludf.DUMMYFUNCTION("(E$5-D$5) * QUERY(
    '4.Resource'!C:D,
    ""SELECT SUM(Col2) WHERE Col1 CONTAINS '"" &amp; C6 &amp; ""' LABEL SUM(Col2) ''"",
    0
  ) 
/ 22"),0.03727272727272728)</f>
        <v/>
      </c>
    </row>
    <row r="7">
      <c r="A7" s="193" t="inlineStr">
        <is>
          <t>1.1.2</t>
        </is>
      </c>
      <c r="B7" s="194" t="inlineStr">
        <is>
          <t>Provide expert consultation on product vision, stakeholder alignment, and high-level decision-making</t>
        </is>
      </c>
      <c r="C7" s="194" t="inlineStr">
        <is>
          <t>Project Advisor</t>
        </is>
      </c>
      <c r="D7" s="195">
        <f>'2.Master Schedule'!C17</f>
        <v/>
      </c>
      <c r="E7" s="195">
        <f>'2.Master Schedule'!D17</f>
        <v/>
      </c>
      <c r="F7" s="196">
        <f>IFERROR(__xludf.DUMMYFUNCTION("(E$5-D$5) * QUERY(
    '4.Resource'!C:D,
    ""SELECT SUM(Col2) WHERE Col1 CONTAINS '"" &amp; C7 &amp; ""' LABEL SUM(Col2) ''"",
    0
  ) 
/ 22"),0.2981818181818182)</f>
        <v/>
      </c>
    </row>
    <row r="8">
      <c r="A8" s="193" t="inlineStr">
        <is>
          <t>1.1.3</t>
        </is>
      </c>
      <c r="B8" s="194" t="inlineStr">
        <is>
          <t>Develop product vision, value proposition, and high-level roadmap aligned with business objectives</t>
        </is>
      </c>
      <c r="C8" s="194" t="inlineStr">
        <is>
          <t>Product Manager</t>
        </is>
      </c>
      <c r="D8" s="195">
        <f>'2.Master Schedule'!C18</f>
        <v/>
      </c>
      <c r="E8" s="195">
        <f>'2.Master Schedule'!D18</f>
        <v/>
      </c>
      <c r="F8" s="196">
        <f>IFERROR(__xludf.DUMMYFUNCTION("(E$5-D$5) * QUERY(
    '4.Resource'!C:D,
    ""SELECT SUM(Col2) WHERE Col1 CONTAINS '"" &amp; C8 &amp; ""' LABEL SUM(Col2) ''"",
    0
  ) 
/ 22"),0.6709090909090909)</f>
        <v/>
      </c>
    </row>
    <row r="9">
      <c r="A9" s="193" t="inlineStr">
        <is>
          <t>1.1.4</t>
        </is>
      </c>
      <c r="B9" s="194" t="inlineStr">
        <is>
          <t>Build master plan, WBS, risk assessment, and define the project management framework</t>
        </is>
      </c>
      <c r="C9" s="194" t="inlineStr">
        <is>
          <t>Project Manager</t>
        </is>
      </c>
      <c r="D9" s="195">
        <f>'2.Master Schedule'!C19</f>
        <v/>
      </c>
      <c r="E9" s="195">
        <f>'2.Master Schedule'!D19</f>
        <v/>
      </c>
      <c r="F9" s="196">
        <f>IFERROR(__xludf.DUMMYFUNCTION("(E$5-D$5) * QUERY(
    '4.Resource'!C:D,
    ""SELECT SUM(Col2) WHERE Col1 CONTAINS '"" &amp; C9 &amp; ""' LABEL SUM(Col2) ''"",
    0
  ) 
/ 22"),0.9318181818181818)</f>
        <v/>
      </c>
    </row>
    <row r="10">
      <c r="A10" s="193" t="inlineStr">
        <is>
          <t>1.1.5</t>
        </is>
      </c>
      <c r="B10" s="194" t="inlineStr">
        <is>
          <t>Assess system architecture direction, define technical boundaries, and validate feasibility of core features</t>
        </is>
      </c>
      <c r="C10" s="194" t="inlineStr">
        <is>
          <t>Technical Director</t>
        </is>
      </c>
      <c r="D10" s="195">
        <f>'2.Master Schedule'!C21</f>
        <v/>
      </c>
      <c r="E10" s="195">
        <f>'2.Master Schedule'!D21</f>
        <v/>
      </c>
      <c r="F10" s="196">
        <f>IFERROR(__xludf.DUMMYFUNCTION("(E$5-D$5) * QUERY(
    '4.Resource'!C:D,
    ""SELECT SUM(Col2) WHERE Col1 CONTAINS '"" &amp; C10 &amp; ""' LABEL SUM(Col2) ''"",
    0
  ) 
/ 22"),0.0931818181818182)</f>
        <v/>
      </c>
    </row>
    <row r="11">
      <c r="A11" s="193" t="inlineStr">
        <is>
          <t>1.1.6</t>
        </is>
      </c>
      <c r="B11" s="194" t="inlineStr">
        <is>
          <t>Create and prioritize the initial product backlog, define acceptance criteria for key features</t>
        </is>
      </c>
      <c r="C11" s="194" t="inlineStr">
        <is>
          <t>Product Owner</t>
        </is>
      </c>
      <c r="D11" s="195">
        <f>'2.Master Schedule'!C22</f>
        <v/>
      </c>
      <c r="E11" s="195">
        <f>'2.Master Schedule'!D22</f>
        <v/>
      </c>
      <c r="F11" s="196">
        <f>IFERROR(__xludf.DUMMYFUNCTION("(E$5-D$5) * QUERY(
    '4.Resource'!C:D,
    ""SELECT SUM(Col2) WHERE Col1 CONTAINS '"" &amp; C11 &amp; ""' LABEL SUM(Col2) ''"",
    0
  ) 
/ 22"),0.3727272727272728)</f>
        <v/>
      </c>
    </row>
    <row r="12">
      <c r="A12" s="193" t="inlineStr">
        <is>
          <t>1.1.7</t>
        </is>
      </c>
      <c r="B12" s="194" t="inlineStr">
        <is>
          <t>Support coordination activities, document meetings, organize project materials and repository structure</t>
        </is>
      </c>
      <c r="C12" s="194" t="inlineStr">
        <is>
          <t>Project Assistant</t>
        </is>
      </c>
      <c r="D12" s="195">
        <f>'2.Master Schedule'!C24</f>
        <v/>
      </c>
      <c r="E12" s="195">
        <f>'2.Master Schedule'!D24</f>
        <v/>
      </c>
      <c r="F12" s="196">
        <f>IFERROR(__xludf.DUMMYFUNCTION("(E$5-D$5) * QUERY(
    '4.Resource'!C:D,
    ""SELECT SUM(Col2) WHERE Col1 CONTAINS '"" &amp; C12 &amp; ""' LABEL SUM(Col2) ''"",
    0
  ) 
/ 22"),0.3727272727272728)</f>
        <v/>
      </c>
    </row>
    <row r="13">
      <c r="A13" s="193" t="inlineStr">
        <is>
          <t>1.1.8</t>
        </is>
      </c>
      <c r="B13" s="194" t="inlineStr">
        <is>
          <t>Define the core gameplay concept, user motivation loops, and draft initial GDD structure</t>
        </is>
      </c>
      <c r="C13" s="194" t="inlineStr">
        <is>
          <t>Game Designer</t>
        </is>
      </c>
      <c r="D13" s="195">
        <f>'2.Master Schedule'!C25</f>
        <v/>
      </c>
      <c r="E13" s="195">
        <f>'2.Master Schedule'!D25</f>
        <v/>
      </c>
      <c r="F13" s="196">
        <f>IFERROR(__xludf.DUMMYFUNCTION("(E$5-D$5) * QUERY(
    '4.Resource'!C:D,
    ""SELECT SUM(Col2) WHERE Col1 CONTAINS '"" &amp; C13 &amp; ""' LABEL SUM(Col2) ''"",
    0
  ) 
/ 22"),3.727272727272727)</f>
        <v/>
      </c>
    </row>
    <row r="14">
      <c r="A14" s="193" t="inlineStr">
        <is>
          <t>1.1.9</t>
        </is>
      </c>
      <c r="B14" s="194" t="inlineStr">
        <is>
          <t>Establish visual style direction, produce preliminary art guidelines, and align concept art direction</t>
        </is>
      </c>
      <c r="C14" s="194" t="inlineStr">
        <is>
          <t>Game Artist Leader</t>
        </is>
      </c>
      <c r="D14" s="195">
        <f>'2.Master Schedule'!C26</f>
        <v/>
      </c>
      <c r="E14" s="195">
        <f>'2.Master Schedule'!D26</f>
        <v/>
      </c>
      <c r="F14" s="196">
        <f>IFERROR(__xludf.DUMMYFUNCTION("(E$5-D$5) * QUERY(
    '4.Resource'!C:D,
    ""SELECT SUM(Col2) WHERE Col1 CONTAINS '"" &amp; C14 &amp; ""' LABEL SUM(Col2) ''"",
    0
  ) 
/ 22"),0.9318181818181818)</f>
        <v/>
      </c>
    </row>
    <row r="15">
      <c r="A15" s="193" t="inlineStr">
        <is>
          <t>1.1.10</t>
        </is>
      </c>
      <c r="B15" s="194" t="inlineStr">
        <is>
          <t>Evaluate technical risks, define proof-of-concept needs, and support architectural decision-making</t>
        </is>
      </c>
      <c r="C15" s="194" t="inlineStr">
        <is>
          <t>Technical Leader</t>
        </is>
      </c>
      <c r="D15" s="195">
        <f>'2.Master Schedule'!C28</f>
        <v/>
      </c>
      <c r="E15" s="195">
        <f>'2.Master Schedule'!D28</f>
        <v/>
      </c>
      <c r="F15" s="196">
        <f>IFERROR(__xludf.DUMMYFUNCTION("(E$5-D$5) * QUERY(
    '4.Resource'!C:D,
    ""SELECT SUM(Col2) WHERE Col1 CONTAINS '"" &amp; C15 &amp; ""' LABEL SUM(Col2) ''"",
    0
  ) 
/ 22"),0.1863636363636364)</f>
        <v/>
      </c>
    </row>
    <row r="16">
      <c r="A16" s="193" t="inlineStr">
        <is>
          <t>1.1.11</t>
        </is>
      </c>
      <c r="B16" s="194" t="inlineStr">
        <is>
          <t>Establish QA strategy, define test approach, and prepare initial test plan templates for the project</t>
        </is>
      </c>
      <c r="C16" s="194" t="inlineStr">
        <is>
          <t>Quality Assurance</t>
        </is>
      </c>
      <c r="D16" s="195">
        <f>'2.Master Schedule'!C29</f>
        <v/>
      </c>
      <c r="E16" s="195">
        <f>'2.Master Schedule'!D29</f>
        <v/>
      </c>
      <c r="F16" s="196">
        <f>IFERROR(__xludf.DUMMYFUNCTION("(E$5-D$5) * QUERY(
    '4.Resource'!C:D,
    ""SELECT SUM(Col2) WHERE Col1 CONTAINS '"" &amp; C16 &amp; ""' LABEL SUM(Col2) ''"",
    0
  ) 
/ 22"),0.3727272727272728)</f>
        <v/>
      </c>
    </row>
    <row r="17">
      <c r="A17" s="181" t="n">
        <v>2</v>
      </c>
      <c r="B17" s="181" t="inlineStr">
        <is>
          <t>Milestone 1</t>
        </is>
      </c>
      <c r="C17" s="182" t="n"/>
      <c r="D17" s="183">
        <f>'2.Master Schedule'!C14</f>
        <v/>
      </c>
      <c r="E17" s="183">
        <f>'2.Master Schedule'!D14</f>
        <v/>
      </c>
      <c r="F17" s="197">
        <f>SUM(F18:F56)</f>
        <v/>
      </c>
    </row>
    <row r="18" ht="20" customHeight="1" s="443"/>
    <row r="19" ht="20" customHeight="1" s="443"/>
    <row r="20" ht="20" customHeight="1" s="443"/>
    <row r="21" ht="20" customHeight="1" s="443"/>
    <row r="22" ht="20" customHeight="1" s="443"/>
    <row r="23" ht="20" customHeight="1" s="443"/>
    <row r="24" ht="20" customHeight="1" s="443"/>
    <row r="25" ht="20" customHeight="1" s="443"/>
    <row r="26" ht="20" customHeight="1" s="443"/>
    <row r="27" ht="20" customHeight="1" s="443"/>
    <row r="28" ht="20" customHeight="1" s="443"/>
    <row r="29" ht="20" customHeight="1" s="443"/>
    <row r="30" ht="20" customHeight="1" s="443"/>
    <row r="31" ht="20" customHeight="1" s="443"/>
    <row r="32" ht="20" customHeight="1" s="443"/>
    <row r="33" ht="20" customHeight="1" s="443"/>
    <row r="34" ht="20" customHeight="1" s="443"/>
    <row r="35" ht="20" customHeight="1" s="443"/>
    <row r="36" ht="20" customHeight="1" s="443"/>
    <row r="37" ht="20" customHeight="1" s="443"/>
    <row r="38" ht="20" customHeight="1" s="443"/>
    <row r="39" ht="20" customHeight="1" s="443"/>
    <row r="40" ht="20" customHeight="1" s="443"/>
    <row r="41" ht="20" customHeight="1" s="443"/>
    <row r="42" ht="20" customHeight="1" s="443"/>
    <row r="43" ht="20" customHeight="1" s="443"/>
    <row r="44" ht="20" customHeight="1" s="443"/>
    <row r="45" ht="20" customHeight="1" s="443"/>
    <row r="46" ht="20" customHeight="1" s="443"/>
    <row r="47" ht="20" customHeight="1" s="443"/>
    <row r="48" ht="20" customHeight="1" s="443"/>
    <row r="49" ht="20" customHeight="1" s="443"/>
    <row r="50" ht="20" customHeight="1" s="443"/>
    <row r="51" ht="20" customHeight="1" s="443"/>
    <row r="52" ht="20" customHeight="1" s="443"/>
    <row r="53" ht="20" customHeight="1" s="443"/>
    <row r="54" ht="20" customHeight="1" s="443"/>
    <row r="55" ht="20" customHeight="1" s="443"/>
    <row r="56" ht="20" customHeight="1" s="443"/>
    <row r="57" ht="20" customHeight="1" s="443"/>
    <row r="58" ht="20" customHeight="1" s="443"/>
    <row r="59" ht="20" customHeight="1" s="443"/>
    <row r="60" ht="20" customHeight="1" s="443"/>
    <row r="61" ht="20" customHeight="1" s="443"/>
    <row r="62" ht="20" customHeight="1" s="443"/>
    <row r="63" ht="20" customHeight="1" s="443"/>
    <row r="64" ht="20" customHeight="1" s="443"/>
    <row r="65" ht="20" customHeight="1" s="443"/>
    <row r="66" ht="20" customHeight="1" s="443"/>
    <row r="67" ht="20" customHeight="1" s="443"/>
    <row r="68" ht="20" customHeight="1" s="443"/>
    <row r="69" ht="20" customHeight="1" s="443"/>
    <row r="70" ht="20" customHeight="1" s="443"/>
    <row r="71" ht="20" customHeight="1" s="443"/>
    <row r="72" ht="20" customHeight="1" s="443"/>
    <row r="73" ht="20" customHeight="1" s="443"/>
    <row r="74" ht="20" customHeight="1" s="443"/>
    <row r="75" ht="20" customHeight="1" s="443"/>
    <row r="76" ht="20" customHeight="1" s="443"/>
    <row r="77" ht="20" customHeight="1" s="443"/>
    <row r="78" ht="20" customHeight="1" s="443"/>
    <row r="79" ht="20" customHeight="1" s="443"/>
    <row r="80" ht="20" customHeight="1" s="443"/>
    <row r="81" ht="20" customHeight="1" s="443"/>
    <row r="82" ht="20" customHeight="1" s="443"/>
    <row r="83" ht="20" customHeight="1" s="443"/>
    <row r="84" ht="20" customHeight="1" s="443"/>
    <row r="85" ht="20" customHeight="1" s="443"/>
    <row r="86" ht="20" customHeight="1" s="443"/>
    <row r="87" ht="20" customHeight="1" s="443"/>
    <row r="88" ht="20" customHeight="1" s="443"/>
    <row r="89" ht="20" customHeight="1" s="443"/>
    <row r="90" ht="20" customHeight="1" s="443"/>
    <row r="91" ht="20" customHeight="1" s="443"/>
    <row r="92" ht="20" customHeight="1" s="443"/>
    <row r="93" ht="20" customHeight="1" s="443"/>
    <row r="94" ht="20" customHeight="1" s="443"/>
    <row r="95" ht="20" customHeight="1" s="443"/>
    <row r="96" ht="20" customHeight="1" s="443"/>
    <row r="97" ht="20" customHeight="1" s="443"/>
    <row r="98" ht="20" customHeight="1" s="443"/>
    <row r="99" ht="20" customHeight="1" s="443"/>
    <row r="100" ht="20" customHeight="1" s="443"/>
    <row r="101" ht="20" customHeight="1" s="443"/>
    <row r="102" ht="20" customHeight="1" s="443"/>
    <row r="103" ht="20" customHeight="1" s="443"/>
    <row r="104" ht="20" customHeight="1" s="443"/>
    <row r="105" ht="20" customHeight="1" s="443"/>
    <row r="106" ht="20" customHeight="1" s="443"/>
    <row r="107" ht="20" customHeight="1" s="443"/>
    <row r="108" ht="20" customHeight="1" s="443"/>
    <row r="109" ht="20" customHeight="1" s="443"/>
    <row r="110" ht="20" customHeight="1" s="443"/>
    <row r="111" ht="20" customHeight="1" s="443"/>
    <row r="112" ht="20" customHeight="1" s="443"/>
    <row r="113" ht="20" customHeight="1" s="443"/>
    <row r="114" ht="20" customHeight="1" s="443"/>
    <row r="115" ht="20" customHeight="1" s="443"/>
    <row r="116" ht="20" customHeight="1" s="443"/>
    <row r="117" ht="20" customHeight="1" s="443"/>
    <row r="118" ht="20" customHeight="1" s="443"/>
    <row r="119" ht="20" customHeight="1" s="443"/>
    <row r="120" ht="20" customHeight="1" s="443"/>
    <row r="121" ht="20" customHeight="1" s="443"/>
    <row r="122" ht="20" customHeight="1" s="443"/>
    <row r="123" ht="20" customHeight="1" s="443"/>
    <row r="124" ht="20" customHeight="1" s="443"/>
    <row r="125" ht="20" customHeight="1" s="443"/>
    <row r="126" ht="20" customHeight="1" s="443"/>
    <row r="127" ht="20" customHeight="1" s="443"/>
    <row r="128" ht="20" customHeight="1" s="443"/>
    <row r="129" ht="20" customHeight="1" s="443"/>
    <row r="130" ht="20" customHeight="1" s="443"/>
    <row r="131" ht="20" customHeight="1" s="443"/>
    <row r="132" ht="20" customHeight="1" s="443"/>
    <row r="133" ht="20" customHeight="1" s="443"/>
    <row r="134" ht="20" customHeight="1" s="443"/>
    <row r="135" ht="20" customHeight="1" s="443"/>
    <row r="136" ht="20" customHeight="1" s="443"/>
    <row r="137" ht="20" customHeight="1" s="443"/>
    <row r="138" ht="20" customHeight="1" s="443"/>
    <row r="139" ht="20" customHeight="1" s="443"/>
    <row r="140" ht="20" customHeight="1" s="443"/>
    <row r="141" ht="20" customHeight="1" s="443"/>
    <row r="142" ht="20" customHeight="1" s="443"/>
    <row r="143" ht="20" customHeight="1" s="443"/>
    <row r="144" ht="20" customHeight="1" s="443"/>
    <row r="145" ht="20" customHeight="1" s="443"/>
    <row r="146" ht="20" customHeight="1" s="443"/>
    <row r="147" ht="20" customHeight="1" s="443"/>
    <row r="148" ht="20" customHeight="1" s="443"/>
    <row r="149" ht="20" customHeight="1" s="443"/>
    <row r="150" ht="20" customHeight="1" s="443"/>
    <row r="151" ht="20" customHeight="1" s="443"/>
    <row r="152" ht="20" customHeight="1" s="443"/>
    <row r="153" ht="20" customHeight="1" s="443"/>
    <row r="154" ht="20" customHeight="1" s="443"/>
    <row r="155" ht="20" customHeight="1" s="443"/>
    <row r="156" ht="20" customHeight="1" s="443"/>
    <row r="157" ht="20" customHeight="1" s="443"/>
    <row r="158" ht="20" customHeight="1" s="443"/>
    <row r="159" ht="20" customHeight="1" s="443"/>
    <row r="160" ht="20" customHeight="1" s="443"/>
    <row r="161" ht="20" customHeight="1" s="443"/>
    <row r="162" ht="20" customHeight="1" s="443"/>
    <row r="163" ht="20" customHeight="1" s="443"/>
    <row r="164" ht="20" customHeight="1" s="443"/>
    <row r="165" ht="20" customHeight="1" s="443"/>
    <row r="166" ht="20" customHeight="1" s="443"/>
    <row r="167" ht="20" customHeight="1" s="443"/>
    <row r="168" ht="20" customHeight="1" s="443"/>
    <row r="169" ht="20" customHeight="1" s="443"/>
    <row r="170" ht="20" customHeight="1" s="443"/>
    <row r="171" ht="20" customHeight="1" s="443"/>
    <row r="172" ht="20" customHeight="1" s="443"/>
    <row r="173" ht="20" customHeight="1" s="443"/>
    <row r="174" ht="20" customHeight="1" s="443"/>
    <row r="175" ht="20" customHeight="1" s="443"/>
    <row r="176" ht="20" customHeight="1" s="443"/>
    <row r="177" ht="20" customHeight="1" s="443"/>
    <row r="178" ht="20" customHeight="1" s="443"/>
    <row r="179" ht="20" customHeight="1" s="443"/>
    <row r="180" ht="20" customHeight="1" s="443"/>
    <row r="181" ht="20" customHeight="1" s="443"/>
    <row r="182" ht="20" customHeight="1" s="443"/>
    <row r="183" ht="20" customHeight="1" s="443"/>
    <row r="184" ht="20" customHeight="1" s="443"/>
    <row r="185" ht="20" customHeight="1" s="443"/>
    <row r="186" ht="20" customHeight="1" s="443"/>
    <row r="187" ht="20" customHeight="1" s="443"/>
    <row r="188" ht="20" customHeight="1" s="443"/>
    <row r="189" ht="20" customHeight="1" s="443"/>
    <row r="190" ht="20" customHeight="1" s="443"/>
    <row r="191" ht="20" customHeight="1" s="443"/>
    <row r="192" ht="20" customHeight="1" s="443"/>
    <row r="193" ht="20" customHeight="1" s="443"/>
    <row r="194" ht="20" customHeight="1" s="443"/>
    <row r="195" ht="20" customHeight="1" s="443"/>
    <row r="196" ht="20" customHeight="1" s="443"/>
    <row r="197" ht="20" customHeight="1" s="443"/>
    <row r="198" ht="20" customHeight="1" s="443"/>
    <row r="199" ht="20" customHeight="1" s="443"/>
    <row r="200" ht="20" customHeight="1" s="443"/>
    <row r="201" ht="20" customHeight="1" s="443"/>
    <row r="202" ht="20" customHeight="1" s="443"/>
    <row r="203" ht="20" customHeight="1" s="443"/>
    <row r="204" ht="20" customHeight="1" s="443"/>
    <row r="205" ht="20" customHeight="1" s="443"/>
    <row r="206" ht="20" customHeight="1" s="443"/>
    <row r="207" ht="20" customHeight="1" s="443"/>
    <row r="208" ht="20" customHeight="1" s="443"/>
    <row r="209" ht="20" customHeight="1" s="443"/>
    <row r="210" ht="20" customHeight="1" s="443"/>
    <row r="211" ht="20" customHeight="1" s="443"/>
    <row r="212" ht="20" customHeight="1" s="443"/>
    <row r="213" ht="20" customHeight="1" s="443"/>
    <row r="214" ht="20" customHeight="1" s="443"/>
    <row r="215" ht="20" customHeight="1" s="443"/>
    <row r="216" ht="20" customHeight="1" s="443"/>
    <row r="217" ht="20" customHeight="1" s="443"/>
    <row r="218" ht="20" customHeight="1" s="443"/>
    <row r="219" ht="20" customHeight="1" s="443"/>
    <row r="220" ht="20" customHeight="1" s="443"/>
    <row r="221" ht="20" customHeight="1" s="443"/>
    <row r="222" ht="20" customHeight="1" s="443"/>
    <row r="223" ht="20" customHeight="1" s="443"/>
    <row r="224" ht="20" customHeight="1" s="443"/>
    <row r="225" ht="20" customHeight="1" s="443"/>
    <row r="226" ht="20" customHeight="1" s="443"/>
    <row r="227" ht="20" customHeight="1" s="443"/>
    <row r="228" ht="20" customHeight="1" s="443"/>
    <row r="229" ht="20" customHeight="1" s="443"/>
    <row r="230" ht="20" customHeight="1" s="443"/>
    <row r="231" ht="20" customHeight="1" s="443"/>
    <row r="232" ht="20" customHeight="1" s="443"/>
    <row r="233" ht="20" customHeight="1" s="443"/>
    <row r="234" ht="20" customHeight="1" s="443"/>
    <row r="235" ht="20" customHeight="1" s="443"/>
    <row r="236" ht="20" customHeight="1" s="443"/>
    <row r="237" ht="20" customHeight="1" s="443"/>
    <row r="238" ht="20" customHeight="1" s="443"/>
    <row r="239" ht="20" customHeight="1" s="443"/>
    <row r="240" ht="20" customHeight="1" s="443"/>
    <row r="241" ht="20" customHeight="1" s="443"/>
    <row r="242" ht="20" customHeight="1" s="443"/>
    <row r="243" ht="20" customHeight="1" s="443"/>
    <row r="244" ht="20" customHeight="1" s="443"/>
    <row r="245" ht="20" customHeight="1" s="443"/>
    <row r="246" ht="20" customHeight="1" s="443"/>
    <row r="247" ht="20" customHeight="1" s="443"/>
    <row r="248" ht="20" customHeight="1" s="443"/>
    <row r="249" ht="20" customHeight="1" s="443"/>
    <row r="250" ht="20" customHeight="1" s="443"/>
    <row r="251" ht="20" customHeight="1" s="443"/>
    <row r="252" ht="20" customHeight="1" s="443"/>
    <row r="253" ht="20" customHeight="1" s="443"/>
    <row r="254" ht="20" customHeight="1" s="443"/>
    <row r="255" ht="20" customHeight="1" s="443"/>
    <row r="256" ht="20" customHeight="1" s="443"/>
    <row r="257" ht="20" customHeight="1" s="443"/>
    <row r="258" ht="20" customHeight="1" s="443"/>
    <row r="259" ht="20" customHeight="1" s="443"/>
    <row r="260" ht="20" customHeight="1" s="443"/>
    <row r="261" ht="20" customHeight="1" s="443"/>
    <row r="262" ht="20" customHeight="1" s="443"/>
    <row r="263" ht="20" customHeight="1" s="443"/>
    <row r="264" ht="20" customHeight="1" s="443"/>
    <row r="265" ht="20" customHeight="1" s="443"/>
    <row r="266" ht="20" customHeight="1" s="443"/>
    <row r="267" ht="20" customHeight="1" s="443"/>
    <row r="268" ht="20" customHeight="1" s="443"/>
    <row r="269" ht="20" customHeight="1" s="443"/>
    <row r="270" ht="20" customHeight="1" s="443"/>
    <row r="271" ht="20" customHeight="1" s="443"/>
    <row r="272" ht="20" customHeight="1" s="443"/>
    <row r="273" ht="20" customHeight="1" s="443"/>
    <row r="274" ht="20" customHeight="1" s="443"/>
    <row r="275" ht="20" customHeight="1" s="443"/>
    <row r="276" ht="20" customHeight="1" s="443"/>
    <row r="277" ht="20" customHeight="1" s="443"/>
    <row r="278" ht="20" customHeight="1" s="443"/>
    <row r="279" ht="20" customHeight="1" s="443"/>
    <row r="280" ht="20" customHeight="1" s="443"/>
    <row r="281" ht="20" customHeight="1" s="443"/>
    <row r="282" ht="20" customHeight="1" s="443"/>
    <row r="283" ht="20" customHeight="1" s="443"/>
    <row r="284" ht="20" customHeight="1" s="443"/>
    <row r="285" ht="20" customHeight="1" s="443"/>
    <row r="286" ht="20" customHeight="1" s="443"/>
    <row r="287" ht="20" customHeight="1" s="443"/>
    <row r="288" ht="20" customHeight="1" s="443"/>
    <row r="289" ht="20" customHeight="1" s="443"/>
    <row r="290" ht="20" customHeight="1" s="443"/>
    <row r="291" ht="20" customHeight="1" s="443"/>
    <row r="292" ht="20" customHeight="1" s="443"/>
    <row r="293" ht="20" customHeight="1" s="443"/>
    <row r="294" ht="20" customHeight="1" s="443"/>
    <row r="295" ht="20" customHeight="1" s="443"/>
    <row r="296" ht="20" customHeight="1" s="443"/>
    <row r="297" ht="20" customHeight="1" s="443"/>
    <row r="298" ht="20" customHeight="1" s="443"/>
    <row r="299" ht="20" customHeight="1" s="443"/>
    <row r="300" ht="20" customHeight="1" s="443"/>
    <row r="301" ht="20" customHeight="1" s="443"/>
    <row r="302" ht="20" customHeight="1" s="443"/>
    <row r="303" ht="20" customHeight="1" s="443"/>
    <row r="304" ht="20" customHeight="1" s="443"/>
    <row r="305" ht="20" customHeight="1" s="443"/>
    <row r="306" ht="20" customHeight="1" s="443"/>
    <row r="307" ht="20" customHeight="1" s="443"/>
    <row r="308" ht="20" customHeight="1" s="443"/>
    <row r="309" ht="20" customHeight="1" s="443"/>
    <row r="310" ht="20" customHeight="1" s="443"/>
    <row r="311" ht="20" customHeight="1" s="443"/>
    <row r="312" ht="20" customHeight="1" s="443"/>
    <row r="313" ht="20" customHeight="1" s="443"/>
    <row r="314" ht="20" customHeight="1" s="443"/>
    <row r="315" ht="20" customHeight="1" s="443"/>
    <row r="316" ht="20" customHeight="1" s="443"/>
    <row r="317" ht="20" customHeight="1" s="443"/>
    <row r="318" ht="20" customHeight="1" s="443"/>
    <row r="319" ht="20" customHeight="1" s="443"/>
    <row r="320" ht="20" customHeight="1" s="443"/>
    <row r="321" ht="20" customHeight="1" s="443"/>
    <row r="322" ht="20" customHeight="1" s="443"/>
    <row r="323" ht="20" customHeight="1" s="443"/>
    <row r="324" ht="20" customHeight="1" s="443"/>
    <row r="325" ht="20" customHeight="1" s="443"/>
    <row r="326" ht="20" customHeight="1" s="443"/>
    <row r="327" ht="20" customHeight="1" s="443"/>
    <row r="328" ht="20" customHeight="1" s="443"/>
    <row r="329" ht="20" customHeight="1" s="443"/>
    <row r="330" ht="20" customHeight="1" s="443"/>
    <row r="331" ht="20" customHeight="1" s="443"/>
    <row r="332" ht="20" customHeight="1" s="443"/>
    <row r="333" ht="20" customHeight="1" s="443"/>
    <row r="334" ht="20" customHeight="1" s="443"/>
    <row r="335" ht="20" customHeight="1" s="443"/>
    <row r="336" ht="20" customHeight="1" s="443"/>
    <row r="337" ht="20" customHeight="1" s="443"/>
    <row r="338" ht="20" customHeight="1" s="443"/>
    <row r="339" ht="20" customHeight="1" s="443"/>
    <row r="340" ht="20" customHeight="1" s="443"/>
    <row r="341" ht="20" customHeight="1" s="443"/>
    <row r="342" ht="20" customHeight="1" s="443"/>
    <row r="343" ht="20" customHeight="1" s="443"/>
    <row r="344" ht="20" customHeight="1" s="443"/>
    <row r="345" ht="20" customHeight="1" s="443"/>
    <row r="346" ht="20" customHeight="1" s="443"/>
    <row r="347" ht="20" customHeight="1" s="443"/>
    <row r="348" ht="20" customHeight="1" s="443"/>
    <row r="349" ht="20" customHeight="1" s="443"/>
    <row r="350" ht="20" customHeight="1" s="443"/>
    <row r="351" ht="20" customHeight="1" s="443"/>
    <row r="352" ht="20" customHeight="1" s="443"/>
    <row r="353" ht="20" customHeight="1" s="443"/>
    <row r="354" ht="20" customHeight="1" s="443"/>
    <row r="355" ht="20" customHeight="1" s="443"/>
    <row r="356" ht="20" customHeight="1" s="443"/>
    <row r="357" ht="20" customHeight="1" s="443"/>
    <row r="358" ht="20" customHeight="1" s="443"/>
    <row r="359" ht="20" customHeight="1" s="443"/>
    <row r="360" ht="20" customHeight="1" s="443"/>
    <row r="361" ht="20" customHeight="1" s="443"/>
    <row r="362" ht="20" customHeight="1" s="443"/>
    <row r="363" ht="20" customHeight="1" s="443"/>
    <row r="364" ht="20" customHeight="1" s="443"/>
    <row r="365" ht="20" customHeight="1" s="443"/>
    <row r="366" ht="20" customHeight="1" s="443"/>
    <row r="367" ht="20" customHeight="1" s="443"/>
    <row r="368" ht="20" customHeight="1" s="443"/>
    <row r="369" ht="20" customHeight="1" s="443"/>
    <row r="370" ht="20" customHeight="1" s="443"/>
    <row r="371" ht="20" customHeight="1" s="443"/>
    <row r="372" ht="20" customHeight="1" s="443"/>
    <row r="373" ht="20" customHeight="1" s="443"/>
    <row r="374" ht="20" customHeight="1" s="443"/>
    <row r="375" ht="20" customHeight="1" s="443"/>
    <row r="376" ht="20" customHeight="1" s="443"/>
    <row r="377" ht="20" customHeight="1" s="443"/>
    <row r="378" ht="20" customHeight="1" s="443"/>
    <row r="379" ht="20" customHeight="1" s="443"/>
    <row r="380" ht="20" customHeight="1" s="443"/>
    <row r="381" ht="20" customHeight="1" s="443"/>
    <row r="382" ht="20" customHeight="1" s="443"/>
    <row r="383" ht="20" customHeight="1" s="443"/>
    <row r="384" ht="20" customHeight="1" s="443"/>
    <row r="385" ht="20" customHeight="1" s="443"/>
    <row r="386" ht="20" customHeight="1" s="443"/>
    <row r="387" ht="20" customHeight="1" s="443"/>
    <row r="388" ht="20" customHeight="1" s="443"/>
    <row r="389" ht="20" customHeight="1" s="443"/>
    <row r="390" ht="20" customHeight="1" s="443"/>
    <row r="391" ht="20" customHeight="1" s="443"/>
    <row r="392" ht="20" customHeight="1" s="443"/>
    <row r="393" ht="20" customHeight="1" s="443"/>
    <row r="394" ht="20" customHeight="1" s="443"/>
    <row r="395" ht="20" customHeight="1" s="443"/>
    <row r="396" ht="20" customHeight="1" s="443"/>
    <row r="397" ht="20" customHeight="1" s="443"/>
    <row r="398" ht="20" customHeight="1" s="443"/>
    <row r="399" ht="20" customHeight="1" s="443"/>
    <row r="400" ht="20" customHeight="1" s="443"/>
    <row r="401" ht="20" customHeight="1" s="443"/>
    <row r="402" ht="20" customHeight="1" s="443"/>
    <row r="403" ht="20" customHeight="1" s="443"/>
    <row r="404" ht="20" customHeight="1" s="443"/>
    <row r="405" ht="20" customHeight="1" s="443"/>
    <row r="406" ht="20" customHeight="1" s="443"/>
    <row r="407" ht="20" customHeight="1" s="443"/>
    <row r="408" ht="20" customHeight="1" s="443"/>
    <row r="409" ht="20" customHeight="1" s="443"/>
    <row r="410" ht="20" customHeight="1" s="443"/>
    <row r="411" ht="20" customHeight="1" s="443"/>
    <row r="412" ht="20" customHeight="1" s="443"/>
    <row r="413" ht="20" customHeight="1" s="443"/>
    <row r="414" ht="20" customHeight="1" s="443"/>
    <row r="415" ht="20" customHeight="1" s="443"/>
    <row r="416" ht="20" customHeight="1" s="443"/>
    <row r="417" ht="20" customHeight="1" s="443"/>
    <row r="418" ht="20" customHeight="1" s="443"/>
    <row r="419" ht="20" customHeight="1" s="443"/>
    <row r="420" ht="20" customHeight="1" s="443"/>
    <row r="421" ht="20" customHeight="1" s="443"/>
    <row r="422" ht="20" customHeight="1" s="443"/>
    <row r="423" ht="20" customHeight="1" s="443"/>
    <row r="424" ht="20" customHeight="1" s="443"/>
    <row r="425" ht="20" customHeight="1" s="443"/>
    <row r="426" ht="20" customHeight="1" s="443"/>
    <row r="427" ht="20" customHeight="1" s="443"/>
    <row r="428" ht="20" customHeight="1" s="443"/>
    <row r="429" ht="20" customHeight="1" s="443"/>
    <row r="430" ht="20" customHeight="1" s="443"/>
    <row r="431" ht="20" customHeight="1" s="443"/>
    <row r="432" ht="20" customHeight="1" s="443"/>
    <row r="433" ht="20" customHeight="1" s="443"/>
    <row r="434" ht="20" customHeight="1" s="443"/>
    <row r="435" ht="20" customHeight="1" s="443"/>
    <row r="436" ht="20" customHeight="1" s="443"/>
    <row r="437" ht="20" customHeight="1" s="443"/>
    <row r="438" ht="20" customHeight="1" s="443"/>
    <row r="439" ht="20" customHeight="1" s="443"/>
    <row r="440" ht="20" customHeight="1" s="443"/>
    <row r="441" ht="20" customHeight="1" s="443"/>
    <row r="442" ht="20" customHeight="1" s="443"/>
    <row r="443" ht="20" customHeight="1" s="443"/>
    <row r="444" ht="20" customHeight="1" s="443"/>
    <row r="445" ht="20" customHeight="1" s="443"/>
    <row r="446" ht="20" customHeight="1" s="443"/>
    <row r="447" ht="20" customHeight="1" s="443"/>
    <row r="448" ht="20" customHeight="1" s="443"/>
    <row r="449" ht="20" customHeight="1" s="443"/>
    <row r="450" ht="20" customHeight="1" s="443"/>
    <row r="451" ht="20" customHeight="1" s="443"/>
    <row r="452" ht="20" customHeight="1" s="443"/>
    <row r="453" ht="20" customHeight="1" s="443"/>
    <row r="454" ht="20" customHeight="1" s="443"/>
    <row r="455" ht="20" customHeight="1" s="443"/>
    <row r="456" ht="20" customHeight="1" s="443"/>
    <row r="457" ht="20" customHeight="1" s="443"/>
    <row r="458" ht="20" customHeight="1" s="443"/>
    <row r="459" ht="20" customHeight="1" s="443"/>
    <row r="460" ht="20" customHeight="1" s="443"/>
    <row r="461" ht="20" customHeight="1" s="443"/>
    <row r="462" ht="20" customHeight="1" s="443"/>
    <row r="463" ht="20" customHeight="1" s="443"/>
    <row r="464" ht="20" customHeight="1" s="443"/>
    <row r="465" ht="20" customHeight="1" s="443"/>
    <row r="466" ht="20" customHeight="1" s="443"/>
    <row r="467" ht="20" customHeight="1" s="443"/>
    <row r="468" ht="20" customHeight="1" s="443"/>
    <row r="469" ht="20" customHeight="1" s="443"/>
    <row r="470" ht="20" customHeight="1" s="443"/>
    <row r="471" ht="20" customHeight="1" s="443"/>
    <row r="472" ht="20" customHeight="1" s="443"/>
    <row r="473" ht="20" customHeight="1" s="443"/>
    <row r="474" ht="20" customHeight="1" s="443"/>
    <row r="475" ht="20" customHeight="1" s="443"/>
    <row r="476" ht="20" customHeight="1" s="443"/>
    <row r="477" ht="20" customHeight="1" s="443"/>
    <row r="478" ht="20" customHeight="1" s="443"/>
    <row r="479" ht="20" customHeight="1" s="443"/>
    <row r="480" ht="20" customHeight="1" s="443"/>
    <row r="481" ht="20" customHeight="1" s="443"/>
    <row r="482" ht="20" customHeight="1" s="443"/>
    <row r="483" ht="20" customHeight="1" s="443"/>
    <row r="484" ht="20" customHeight="1" s="443"/>
    <row r="485" ht="20" customHeight="1" s="443"/>
    <row r="486" ht="20" customHeight="1" s="443"/>
    <row r="487" ht="20" customHeight="1" s="443"/>
    <row r="488" ht="20" customHeight="1" s="443"/>
    <row r="489" ht="20" customHeight="1" s="443"/>
    <row r="490" ht="20" customHeight="1" s="443"/>
    <row r="491" ht="20" customHeight="1" s="443"/>
    <row r="492" ht="20" customHeight="1" s="443"/>
    <row r="493" ht="20" customHeight="1" s="443"/>
    <row r="494" ht="20" customHeight="1" s="443"/>
    <row r="495" ht="20" customHeight="1" s="443"/>
    <row r="496" ht="20" customHeight="1" s="443"/>
    <row r="497" ht="20" customHeight="1" s="443"/>
    <row r="498" ht="20" customHeight="1" s="443"/>
    <row r="499" ht="20" customHeight="1" s="443"/>
    <row r="500" ht="20" customHeight="1" s="443"/>
    <row r="501" ht="20" customHeight="1" s="443"/>
    <row r="502" ht="20" customHeight="1" s="443"/>
    <row r="503" ht="20" customHeight="1" s="443"/>
    <row r="504" ht="20" customHeight="1" s="443"/>
    <row r="505" ht="20" customHeight="1" s="443"/>
    <row r="506" ht="20" customHeight="1" s="443"/>
    <row r="507" ht="20" customHeight="1" s="443"/>
    <row r="508" ht="20" customHeight="1" s="443"/>
    <row r="509" ht="20" customHeight="1" s="443"/>
    <row r="510" ht="20" customHeight="1" s="443"/>
    <row r="511" ht="20" customHeight="1" s="443"/>
    <row r="512" ht="20" customHeight="1" s="443"/>
    <row r="513" ht="20" customHeight="1" s="443"/>
    <row r="514" ht="20" customHeight="1" s="443"/>
    <row r="515" ht="20" customHeight="1" s="443"/>
    <row r="516" ht="20" customHeight="1" s="443"/>
    <row r="517" ht="20" customHeight="1" s="443"/>
    <row r="518" ht="20" customHeight="1" s="443"/>
    <row r="519" ht="20" customHeight="1" s="443"/>
    <row r="520" ht="20" customHeight="1" s="443"/>
    <row r="521" ht="20" customHeight="1" s="443"/>
    <row r="522" ht="20" customHeight="1" s="443"/>
    <row r="523" ht="20" customHeight="1" s="443"/>
    <row r="524" ht="20" customHeight="1" s="443"/>
    <row r="525" ht="20" customHeight="1" s="443"/>
    <row r="526" ht="20" customHeight="1" s="443"/>
    <row r="527" ht="20" customHeight="1" s="443"/>
    <row r="528" ht="20" customHeight="1" s="443"/>
    <row r="529" ht="20" customHeight="1" s="443"/>
    <row r="530" ht="20" customHeight="1" s="443"/>
    <row r="531" ht="20" customHeight="1" s="443"/>
    <row r="532" ht="20" customHeight="1" s="443"/>
    <row r="533" ht="20" customHeight="1" s="443"/>
    <row r="534" ht="20" customHeight="1" s="443"/>
    <row r="535" ht="20" customHeight="1" s="443"/>
    <row r="536" ht="20" customHeight="1" s="443"/>
    <row r="537" ht="20" customHeight="1" s="443"/>
    <row r="538" ht="20" customHeight="1" s="443"/>
    <row r="539" ht="20" customHeight="1" s="443"/>
    <row r="540" ht="20" customHeight="1" s="443"/>
    <row r="541" ht="20" customHeight="1" s="443"/>
    <row r="542" ht="20" customHeight="1" s="443"/>
    <row r="543" ht="20" customHeight="1" s="443"/>
    <row r="544" ht="20" customHeight="1" s="443"/>
    <row r="545" ht="20" customHeight="1" s="443"/>
    <row r="546" ht="20" customHeight="1" s="443"/>
    <row r="547" ht="20" customHeight="1" s="443"/>
    <row r="548" ht="20" customHeight="1" s="443"/>
    <row r="549" ht="20" customHeight="1" s="443"/>
    <row r="550" ht="20" customHeight="1" s="443"/>
    <row r="551" ht="20" customHeight="1" s="443"/>
    <row r="552" ht="20" customHeight="1" s="443"/>
    <row r="553" ht="20" customHeight="1" s="443"/>
    <row r="554" ht="20" customHeight="1" s="443"/>
    <row r="555" ht="20" customHeight="1" s="443"/>
    <row r="556" ht="20" customHeight="1" s="443"/>
    <row r="557" ht="20" customHeight="1" s="443"/>
    <row r="558" ht="20" customHeight="1" s="443"/>
    <row r="559" ht="20" customHeight="1" s="443"/>
    <row r="560" ht="20" customHeight="1" s="443"/>
    <row r="561" ht="20" customHeight="1" s="443"/>
    <row r="562" ht="20" customHeight="1" s="443"/>
    <row r="563" ht="20" customHeight="1" s="443"/>
    <row r="564" ht="20" customHeight="1" s="443"/>
    <row r="565" ht="20" customHeight="1" s="443"/>
    <row r="566" ht="20" customHeight="1" s="443"/>
    <row r="567" ht="20" customHeight="1" s="443"/>
    <row r="568" ht="20" customHeight="1" s="443"/>
    <row r="569" ht="20" customHeight="1" s="443"/>
    <row r="570" ht="20" customHeight="1" s="443"/>
    <row r="571" ht="20" customHeight="1" s="443"/>
    <row r="572" ht="20" customHeight="1" s="443"/>
    <row r="573" ht="20" customHeight="1" s="443"/>
    <row r="574" ht="20" customHeight="1" s="443"/>
    <row r="575" ht="20" customHeight="1" s="443"/>
    <row r="576" ht="20" customHeight="1" s="443"/>
    <row r="577" ht="20" customHeight="1" s="443"/>
    <row r="578" ht="20" customHeight="1" s="443"/>
    <row r="579" ht="20" customHeight="1" s="443"/>
    <row r="580" ht="20" customHeight="1" s="443"/>
    <row r="581" ht="20" customHeight="1" s="443"/>
    <row r="582" ht="20" customHeight="1" s="443"/>
    <row r="583" ht="20" customHeight="1" s="443"/>
    <row r="584" ht="20" customHeight="1" s="443"/>
    <row r="585" ht="20" customHeight="1" s="443"/>
    <row r="586" ht="20" customHeight="1" s="443"/>
    <row r="587" ht="20" customHeight="1" s="443"/>
    <row r="588" ht="20" customHeight="1" s="443"/>
    <row r="589" ht="20" customHeight="1" s="443"/>
    <row r="590" ht="20" customHeight="1" s="443"/>
    <row r="591" ht="20" customHeight="1" s="443"/>
    <row r="592" ht="20" customHeight="1" s="443"/>
    <row r="593" ht="20" customHeight="1" s="443"/>
    <row r="594" ht="20" customHeight="1" s="443"/>
    <row r="595" ht="20" customHeight="1" s="443"/>
    <row r="596" ht="20" customHeight="1" s="443"/>
    <row r="597" ht="20" customHeight="1" s="443"/>
    <row r="598" ht="20" customHeight="1" s="443"/>
    <row r="599" ht="20" customHeight="1" s="443"/>
    <row r="600" ht="20" customHeight="1" s="443"/>
    <row r="601" ht="20" customHeight="1" s="443"/>
    <row r="602" ht="20" customHeight="1" s="443"/>
    <row r="603" ht="20" customHeight="1" s="443"/>
    <row r="604" ht="20" customHeight="1" s="443"/>
    <row r="605" ht="20" customHeight="1" s="443"/>
    <row r="606" ht="20" customHeight="1" s="443"/>
    <row r="607" ht="20" customHeight="1" s="443"/>
    <row r="608" ht="20" customHeight="1" s="443"/>
    <row r="609" ht="20" customHeight="1" s="443"/>
    <row r="610" ht="20" customHeight="1" s="443"/>
    <row r="611" ht="20" customHeight="1" s="443"/>
    <row r="612" ht="20" customHeight="1" s="443"/>
    <row r="613" ht="20" customHeight="1" s="443"/>
    <row r="614" ht="20" customHeight="1" s="443"/>
    <row r="615" ht="20" customHeight="1" s="443"/>
    <row r="616" ht="20" customHeight="1" s="443"/>
    <row r="617" ht="20" customHeight="1" s="443"/>
    <row r="618" ht="20" customHeight="1" s="443"/>
    <row r="619" ht="20" customHeight="1" s="443"/>
    <row r="620" ht="20" customHeight="1" s="443"/>
    <row r="621" ht="20" customHeight="1" s="443"/>
    <row r="622" ht="20" customHeight="1" s="443"/>
    <row r="623" ht="20" customHeight="1" s="443"/>
    <row r="624" ht="20" customHeight="1" s="443"/>
    <row r="625" ht="20" customHeight="1" s="443"/>
    <row r="626" ht="20" customHeight="1" s="443"/>
    <row r="627" ht="20" customHeight="1" s="443"/>
    <row r="628" ht="20" customHeight="1" s="443"/>
    <row r="629" ht="20" customHeight="1" s="443"/>
    <row r="630" ht="20" customHeight="1" s="443"/>
    <row r="631" ht="20" customHeight="1" s="443"/>
    <row r="632" ht="20" customHeight="1" s="443"/>
    <row r="633" ht="20" customHeight="1" s="443"/>
    <row r="634" ht="20" customHeight="1" s="443"/>
    <row r="635" ht="20" customHeight="1" s="443"/>
    <row r="636" ht="20" customHeight="1" s="443"/>
    <row r="637" ht="20" customHeight="1" s="443"/>
    <row r="638" ht="20" customHeight="1" s="443"/>
    <row r="639" ht="20" customHeight="1" s="443"/>
    <row r="640" ht="20" customHeight="1" s="443"/>
    <row r="641" ht="20" customHeight="1" s="443"/>
    <row r="642" ht="20" customHeight="1" s="443"/>
    <row r="643" ht="20" customHeight="1" s="443"/>
    <row r="644" ht="20" customHeight="1" s="443"/>
    <row r="645" ht="20" customHeight="1" s="443"/>
    <row r="646" ht="20" customHeight="1" s="443"/>
    <row r="647" ht="20" customHeight="1" s="443"/>
    <row r="648" ht="20" customHeight="1" s="443"/>
    <row r="649" ht="20" customHeight="1" s="443"/>
    <row r="650" ht="20" customHeight="1" s="443"/>
    <row r="651" ht="20" customHeight="1" s="443"/>
    <row r="652" ht="20" customHeight="1" s="443"/>
    <row r="653" ht="20" customHeight="1" s="443"/>
    <row r="654" ht="20" customHeight="1" s="443"/>
    <row r="655" ht="20" customHeight="1" s="443"/>
    <row r="656" ht="20" customHeight="1" s="443"/>
    <row r="657" ht="20" customHeight="1" s="443"/>
    <row r="658" ht="20" customHeight="1" s="443"/>
    <row r="659" ht="20" customHeight="1" s="443"/>
    <row r="660" ht="20" customHeight="1" s="443"/>
    <row r="661" ht="20" customHeight="1" s="443"/>
    <row r="662" ht="20" customHeight="1" s="443"/>
    <row r="663" ht="20" customHeight="1" s="443"/>
    <row r="664" ht="20" customHeight="1" s="443"/>
    <row r="665" ht="20" customHeight="1" s="443"/>
    <row r="666" ht="20" customHeight="1" s="443"/>
    <row r="667" ht="20" customHeight="1" s="443"/>
    <row r="668" ht="20" customHeight="1" s="443"/>
    <row r="669" ht="20" customHeight="1" s="443"/>
    <row r="670" ht="20" customHeight="1" s="443"/>
    <row r="671" ht="20" customHeight="1" s="443"/>
    <row r="672" ht="20" customHeight="1" s="443"/>
    <row r="673" ht="20" customHeight="1" s="443"/>
    <row r="674" ht="20" customHeight="1" s="443"/>
    <row r="675" ht="20" customHeight="1" s="443"/>
    <row r="676" ht="20" customHeight="1" s="443"/>
    <row r="677" ht="20" customHeight="1" s="443"/>
    <row r="678" ht="20" customHeight="1" s="443"/>
    <row r="679" ht="20" customHeight="1" s="443"/>
    <row r="680" ht="20" customHeight="1" s="443"/>
    <row r="681" ht="20" customHeight="1" s="443"/>
    <row r="682" ht="20" customHeight="1" s="443"/>
    <row r="683" ht="20" customHeight="1" s="443"/>
    <row r="684" ht="20" customHeight="1" s="443"/>
    <row r="685" ht="20" customHeight="1" s="443"/>
    <row r="686" ht="20" customHeight="1" s="443"/>
    <row r="687" ht="20" customHeight="1" s="443"/>
    <row r="688" ht="20" customHeight="1" s="443"/>
    <row r="689" ht="20" customHeight="1" s="443"/>
    <row r="690" ht="20" customHeight="1" s="443"/>
    <row r="691" ht="20" customHeight="1" s="443"/>
    <row r="692" ht="20" customHeight="1" s="443"/>
    <row r="693" ht="20" customHeight="1" s="443"/>
    <row r="694" ht="20" customHeight="1" s="443"/>
    <row r="695" ht="20" customHeight="1" s="443"/>
    <row r="696" ht="20" customHeight="1" s="443"/>
    <row r="697" ht="20" customHeight="1" s="443"/>
    <row r="698" ht="20" customHeight="1" s="443"/>
    <row r="699" ht="20" customHeight="1" s="443"/>
    <row r="700" ht="20" customHeight="1" s="443"/>
    <row r="701" ht="20" customHeight="1" s="443"/>
    <row r="702" ht="20" customHeight="1" s="443"/>
    <row r="703" ht="20" customHeight="1" s="443"/>
    <row r="704" ht="20" customHeight="1" s="443"/>
    <row r="705" ht="20" customHeight="1" s="443"/>
    <row r="706" ht="20" customHeight="1" s="443"/>
    <row r="707" ht="20" customHeight="1" s="443"/>
    <row r="708" ht="20" customHeight="1" s="443"/>
    <row r="709" ht="20" customHeight="1" s="443"/>
    <row r="710" ht="20" customHeight="1" s="443"/>
    <row r="711" ht="20" customHeight="1" s="443"/>
    <row r="712" ht="20" customHeight="1" s="443"/>
    <row r="713" ht="20" customHeight="1" s="443"/>
    <row r="714" ht="20" customHeight="1" s="443"/>
    <row r="715" ht="20" customHeight="1" s="443"/>
    <row r="716" ht="20" customHeight="1" s="443"/>
    <row r="717" ht="20" customHeight="1" s="443"/>
    <row r="718" ht="20" customHeight="1" s="443"/>
    <row r="719" ht="20" customHeight="1" s="443"/>
    <row r="720" ht="20" customHeight="1" s="443"/>
    <row r="721" ht="20" customHeight="1" s="443"/>
    <row r="722" ht="20" customHeight="1" s="443"/>
    <row r="723" ht="20" customHeight="1" s="443"/>
    <row r="724" ht="20" customHeight="1" s="443"/>
    <row r="725" ht="20" customHeight="1" s="443"/>
    <row r="726" ht="20" customHeight="1" s="443"/>
    <row r="727" ht="20" customHeight="1" s="443"/>
    <row r="728" ht="20" customHeight="1" s="443"/>
    <row r="729" ht="20" customHeight="1" s="443"/>
    <row r="730" ht="20" customHeight="1" s="443"/>
    <row r="731" ht="20" customHeight="1" s="443"/>
    <row r="732" ht="20" customHeight="1" s="443"/>
    <row r="733" ht="20" customHeight="1" s="443"/>
    <row r="734" ht="20" customHeight="1" s="443"/>
    <row r="735" ht="20" customHeight="1" s="443"/>
    <row r="736" ht="20" customHeight="1" s="443"/>
    <row r="737" ht="20" customHeight="1" s="443"/>
    <row r="738" ht="20" customHeight="1" s="443"/>
    <row r="739" ht="20" customHeight="1" s="443"/>
    <row r="740" ht="20" customHeight="1" s="443"/>
    <row r="741" ht="20" customHeight="1" s="443"/>
  </sheetData>
  <mergeCells count="3">
    <mergeCell ref="E2:F2"/>
    <mergeCell ref="A2:D2"/>
    <mergeCell ref="A232:E232"/>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T57"/>
  <sheetViews>
    <sheetView showGridLines="0" workbookViewId="0">
      <selection activeCell="A1" sqref="A1"/>
    </sheetView>
  </sheetViews>
  <sheetFormatPr baseColWidth="8" defaultColWidth="12.63" defaultRowHeight="15" customHeight="1"/>
  <cols>
    <col width="5" customWidth="1" style="443" min="1" max="1"/>
    <col width="22" customWidth="1" style="443" min="2" max="2"/>
    <col width="52" customWidth="1" style="443" min="3" max="3"/>
    <col width="14.88" customWidth="1" style="443" min="4" max="5"/>
    <col width="13.38" customWidth="1" style="443" min="6" max="6"/>
    <col width="11.88" customWidth="1" style="443" min="7" max="7"/>
    <col width="13.38" customWidth="1" style="443" min="8" max="8"/>
    <col width="12.5" customWidth="1" style="443" min="9" max="9"/>
    <col width="20.13" customWidth="1" style="443" min="10" max="10"/>
  </cols>
  <sheetData>
    <row r="1" ht="7.5" customHeight="1" s="443">
      <c r="A1" s="214" t="n"/>
      <c r="B1" s="214" t="n"/>
      <c r="C1" s="214" t="n"/>
      <c r="D1" s="214" t="n"/>
      <c r="E1" s="214" t="n"/>
      <c r="F1" s="214" t="n"/>
      <c r="G1" s="214" t="n"/>
      <c r="H1" s="214" t="n"/>
      <c r="I1" s="214" t="n"/>
      <c r="J1" s="214" t="n"/>
      <c r="K1" s="215" t="n"/>
      <c r="L1" s="215" t="n"/>
      <c r="M1" s="215" t="n"/>
      <c r="N1" s="215" t="n"/>
      <c r="O1" s="215" t="n"/>
      <c r="P1" s="215" t="n"/>
      <c r="Q1" s="215" t="n"/>
      <c r="R1" s="215" t="n"/>
      <c r="S1" s="215" t="n"/>
      <c r="T1" s="215" t="n"/>
    </row>
    <row r="2" ht="54.75" customHeight="1" s="443">
      <c r="A2" s="216" t="n"/>
      <c r="B2" s="217" t="n"/>
      <c r="C2" s="217" t="inlineStr">
        <is>
          <t>KẾ HOẠCH QUẢN LÝ NGUỒN LỰC/ 
RESOURCE MANAGEMENT PLAN</t>
        </is>
      </c>
      <c r="D2" s="444" t="n"/>
      <c r="E2" s="444" t="n"/>
      <c r="F2" s="444" t="n"/>
      <c r="G2" s="444" t="n"/>
      <c r="H2" s="444" t="n"/>
      <c r="I2" s="444" t="n"/>
      <c r="J2" s="42">
        <f>ROC!F2</f>
        <v/>
      </c>
      <c r="K2" s="444" t="n"/>
      <c r="L2" s="444" t="n"/>
      <c r="M2" s="444" t="n"/>
      <c r="N2" s="444" t="n"/>
      <c r="O2" s="444" t="n"/>
      <c r="P2" s="444" t="n"/>
      <c r="Q2" s="444" t="n"/>
      <c r="R2" s="444" t="n"/>
      <c r="S2" s="444" t="n"/>
      <c r="T2" s="444" t="n"/>
    </row>
    <row r="3" ht="19.5" customHeight="1" s="443">
      <c r="A3" s="214" t="n"/>
      <c r="B3" s="214" t="n"/>
      <c r="C3" s="214" t="n"/>
      <c r="D3" s="214" t="n"/>
      <c r="E3" s="214" t="n"/>
      <c r="F3" s="214" t="n"/>
      <c r="G3" s="214" t="n"/>
      <c r="H3" s="214" t="n"/>
      <c r="I3" s="214" t="n"/>
      <c r="J3" s="214" t="n"/>
      <c r="K3" s="215" t="n"/>
      <c r="L3" s="215" t="n"/>
      <c r="M3" s="215" t="n"/>
      <c r="N3" s="215" t="n"/>
      <c r="O3" s="215" t="n"/>
      <c r="P3" s="215" t="n"/>
      <c r="Q3" s="215" t="n"/>
      <c r="R3" s="215" t="n"/>
      <c r="S3" s="215" t="n"/>
      <c r="T3" s="215" t="n"/>
    </row>
    <row r="4">
      <c r="A4" s="462" t="inlineStr">
        <is>
          <t>Sơ đồ tổ chức dự án/ Project Org Chart</t>
        </is>
      </c>
    </row>
    <row r="5" ht="15.75" customHeight="1" s="443">
      <c r="A5" s="228" t="n"/>
      <c r="L5" s="215" t="n"/>
      <c r="M5" s="215" t="n"/>
      <c r="N5" s="215" t="n"/>
      <c r="O5" s="215" t="n"/>
      <c r="P5" s="215" t="n"/>
      <c r="Q5" s="215" t="n"/>
      <c r="R5" s="215" t="n"/>
      <c r="S5" s="215" t="n"/>
      <c r="T5" s="215" t="n"/>
    </row>
    <row r="6" ht="15.75" customHeight="1" s="443">
      <c r="L6" s="215" t="n"/>
      <c r="M6" s="215" t="n"/>
      <c r="N6" s="215" t="n"/>
      <c r="O6" s="215" t="n"/>
      <c r="P6" s="215" t="n"/>
      <c r="Q6" s="215" t="n"/>
      <c r="R6" s="215" t="n"/>
      <c r="S6" s="215" t="n"/>
      <c r="T6" s="215" t="n"/>
    </row>
    <row r="7" ht="15.75" customHeight="1" s="443">
      <c r="L7" s="215" t="n"/>
      <c r="M7" s="215" t="n"/>
      <c r="N7" s="215" t="n"/>
      <c r="O7" s="215" t="n"/>
      <c r="P7" s="215" t="n"/>
      <c r="Q7" s="215" t="n"/>
      <c r="R7" s="215" t="n"/>
      <c r="S7" s="215" t="n"/>
      <c r="T7" s="215" t="n"/>
    </row>
    <row r="8" ht="15.75" customHeight="1" s="443">
      <c r="L8" s="215" t="n"/>
      <c r="M8" s="215" t="n"/>
      <c r="N8" s="215" t="n"/>
      <c r="O8" s="215" t="n"/>
      <c r="P8" s="215" t="n"/>
      <c r="Q8" s="215" t="n"/>
      <c r="R8" s="215" t="n"/>
      <c r="S8" s="215" t="n"/>
      <c r="T8" s="215" t="n"/>
    </row>
    <row r="9" ht="15.75" customHeight="1" s="443">
      <c r="L9" s="215" t="n"/>
      <c r="M9" s="215" t="n"/>
      <c r="N9" s="215" t="n"/>
      <c r="O9" s="215" t="n"/>
      <c r="P9" s="215" t="n"/>
      <c r="Q9" s="215" t="n"/>
      <c r="R9" s="215" t="n"/>
      <c r="S9" s="215" t="n"/>
      <c r="T9" s="215" t="n"/>
    </row>
    <row r="10" ht="15.75" customHeight="1" s="443">
      <c r="L10" s="215" t="n"/>
      <c r="M10" s="215" t="n"/>
      <c r="N10" s="215" t="n"/>
      <c r="O10" s="215" t="n"/>
      <c r="P10" s="215" t="n"/>
      <c r="Q10" s="215" t="n"/>
      <c r="R10" s="215" t="n"/>
      <c r="S10" s="215" t="n"/>
      <c r="T10" s="215" t="n"/>
    </row>
    <row r="11" ht="15.75" customHeight="1" s="443">
      <c r="L11" s="215" t="n"/>
      <c r="M11" s="215" t="n"/>
      <c r="N11" s="215" t="n"/>
      <c r="O11" s="215" t="n"/>
      <c r="P11" s="215" t="n"/>
      <c r="Q11" s="215" t="n"/>
      <c r="R11" s="215" t="n"/>
      <c r="S11" s="215" t="n"/>
      <c r="T11" s="215" t="n"/>
    </row>
    <row r="12" ht="15.75" customHeight="1" s="443">
      <c r="L12" s="215" t="n"/>
      <c r="M12" s="215" t="n"/>
      <c r="N12" s="215" t="n"/>
      <c r="O12" s="215" t="n"/>
      <c r="P12" s="215" t="n"/>
      <c r="Q12" s="215" t="n"/>
      <c r="R12" s="215" t="n"/>
      <c r="S12" s="215" t="n"/>
      <c r="T12" s="215" t="n"/>
    </row>
    <row r="13" ht="15.75" customHeight="1" s="443">
      <c r="L13" s="215" t="n"/>
      <c r="M13" s="215" t="n"/>
      <c r="N13" s="215" t="n"/>
      <c r="O13" s="215" t="n"/>
      <c r="P13" s="215" t="n"/>
      <c r="Q13" s="215" t="n"/>
      <c r="R13" s="215" t="n"/>
      <c r="S13" s="215" t="n"/>
      <c r="T13" s="215" t="n"/>
    </row>
    <row r="14" ht="15.75" customHeight="1" s="443">
      <c r="L14" s="215" t="n"/>
      <c r="M14" s="215" t="n"/>
      <c r="N14" s="215" t="n"/>
      <c r="O14" s="215" t="n"/>
      <c r="P14" s="215" t="n"/>
      <c r="Q14" s="215" t="n"/>
      <c r="R14" s="215" t="n"/>
      <c r="S14" s="215" t="n"/>
      <c r="T14" s="215" t="n"/>
    </row>
    <row r="15" ht="15.75" customHeight="1" s="443">
      <c r="L15" s="215" t="n"/>
      <c r="M15" s="215" t="n"/>
      <c r="N15" s="215" t="n"/>
      <c r="O15" s="215" t="n"/>
      <c r="P15" s="215" t="n"/>
      <c r="Q15" s="215" t="n"/>
      <c r="R15" s="215" t="n"/>
      <c r="S15" s="215" t="n"/>
      <c r="T15" s="215" t="n"/>
    </row>
    <row r="16" ht="15.75" customHeight="1" s="443">
      <c r="L16" s="215" t="n"/>
      <c r="M16" s="215" t="n"/>
      <c r="N16" s="215" t="n"/>
      <c r="O16" s="215" t="n"/>
      <c r="P16" s="215" t="n"/>
      <c r="Q16" s="215" t="n"/>
      <c r="R16" s="215" t="n"/>
      <c r="S16" s="215" t="n"/>
      <c r="T16" s="215" t="n"/>
    </row>
    <row r="17" ht="15.75" customHeight="1" s="443">
      <c r="L17" s="215" t="n"/>
      <c r="M17" s="215" t="n"/>
      <c r="N17" s="215" t="n"/>
      <c r="O17" s="215" t="n"/>
      <c r="P17" s="215" t="n"/>
      <c r="Q17" s="215" t="n"/>
      <c r="R17" s="215" t="n"/>
      <c r="S17" s="215" t="n"/>
      <c r="T17" s="215" t="n"/>
    </row>
    <row r="18" ht="15.75" customHeight="1" s="443">
      <c r="L18" s="215" t="n"/>
      <c r="M18" s="215" t="n"/>
      <c r="N18" s="215" t="n"/>
      <c r="O18" s="215" t="n"/>
      <c r="P18" s="215" t="n"/>
      <c r="Q18" s="215" t="n"/>
      <c r="R18" s="215" t="n"/>
      <c r="S18" s="215" t="n"/>
      <c r="T18" s="215" t="n"/>
    </row>
    <row r="19" ht="15.75" customHeight="1" s="443">
      <c r="L19" s="215" t="n"/>
      <c r="M19" s="215" t="n"/>
      <c r="N19" s="215" t="n"/>
      <c r="O19" s="215" t="n"/>
      <c r="P19" s="215" t="n"/>
      <c r="Q19" s="215" t="n"/>
      <c r="R19" s="215" t="n"/>
      <c r="S19" s="215" t="n"/>
      <c r="T19" s="215" t="n"/>
    </row>
    <row r="20" ht="15.75" customHeight="1" s="443">
      <c r="L20" s="215" t="n"/>
      <c r="M20" s="215" t="n"/>
      <c r="N20" s="215" t="n"/>
      <c r="O20" s="215" t="n"/>
      <c r="P20" s="215" t="n"/>
      <c r="Q20" s="215" t="n"/>
      <c r="R20" s="215" t="n"/>
      <c r="S20" s="215" t="n"/>
      <c r="T20" s="215" t="n"/>
    </row>
    <row r="21" ht="15.75" customHeight="1" s="443">
      <c r="L21" s="215" t="n"/>
      <c r="M21" s="215" t="n"/>
      <c r="N21" s="215" t="n"/>
      <c r="O21" s="215" t="n"/>
      <c r="P21" s="215" t="n"/>
      <c r="Q21" s="215" t="n"/>
      <c r="R21" s="215" t="n"/>
      <c r="S21" s="215" t="n"/>
      <c r="T21" s="215" t="n"/>
    </row>
    <row r="22" ht="15.75" customHeight="1" s="443">
      <c r="L22" s="215" t="n"/>
      <c r="M22" s="215" t="n"/>
      <c r="N22" s="215" t="n"/>
      <c r="O22" s="215" t="n"/>
      <c r="P22" s="215" t="n"/>
      <c r="Q22" s="215" t="n"/>
      <c r="R22" s="215" t="n"/>
      <c r="S22" s="215" t="n"/>
      <c r="T22" s="215" t="n"/>
    </row>
    <row r="23" ht="15.75" customHeight="1" s="443">
      <c r="L23" s="215" t="n"/>
      <c r="M23" s="215" t="n"/>
      <c r="N23" s="215" t="n"/>
      <c r="O23" s="215" t="n"/>
      <c r="P23" s="215" t="n"/>
      <c r="Q23" s="215" t="n"/>
      <c r="R23" s="215" t="n"/>
      <c r="S23" s="215" t="n"/>
      <c r="T23" s="215" t="n"/>
    </row>
    <row r="24" ht="15.75" customHeight="1" s="443">
      <c r="L24" s="215" t="n"/>
      <c r="M24" s="215" t="n"/>
      <c r="N24" s="215" t="n"/>
      <c r="O24" s="215" t="n"/>
      <c r="P24" s="215" t="n"/>
      <c r="Q24" s="215" t="n"/>
      <c r="R24" s="215" t="n"/>
      <c r="S24" s="215" t="n"/>
      <c r="T24" s="215" t="n"/>
    </row>
    <row r="25" ht="15.75" customHeight="1" s="443">
      <c r="L25" s="215" t="n"/>
      <c r="M25" s="215" t="n"/>
      <c r="N25" s="215" t="n"/>
      <c r="O25" s="215" t="n"/>
      <c r="P25" s="215" t="n"/>
      <c r="Q25" s="215" t="n"/>
      <c r="R25" s="215" t="n"/>
      <c r="S25" s="215" t="n"/>
      <c r="T25" s="215" t="n"/>
    </row>
    <row r="26" ht="15.75" customHeight="1" s="443">
      <c r="L26" s="215" t="n"/>
      <c r="M26" s="215" t="n"/>
      <c r="N26" s="215" t="n"/>
      <c r="O26" s="215" t="n"/>
      <c r="P26" s="215" t="n"/>
      <c r="Q26" s="215" t="n"/>
      <c r="R26" s="215" t="n"/>
      <c r="S26" s="215" t="n"/>
      <c r="T26" s="215" t="n"/>
    </row>
    <row r="27" ht="15.75" customHeight="1" s="443">
      <c r="L27" s="215" t="n"/>
      <c r="M27" s="215" t="n"/>
      <c r="N27" s="215" t="n"/>
      <c r="O27" s="215" t="n"/>
      <c r="P27" s="215" t="n"/>
      <c r="Q27" s="215" t="n"/>
      <c r="R27" s="215" t="n"/>
      <c r="S27" s="215" t="n"/>
      <c r="T27" s="215" t="n"/>
    </row>
    <row r="28" ht="15.75" customHeight="1" s="443">
      <c r="L28" s="215" t="n"/>
      <c r="M28" s="215" t="n"/>
      <c r="N28" s="215" t="n"/>
      <c r="O28" s="215" t="n"/>
      <c r="P28" s="215" t="n"/>
      <c r="Q28" s="215" t="n"/>
      <c r="R28" s="215" t="n"/>
      <c r="S28" s="215" t="n"/>
      <c r="T28" s="215" t="n"/>
    </row>
    <row r="29" ht="15.75" customHeight="1" s="443">
      <c r="L29" s="215" t="n"/>
      <c r="M29" s="215" t="n"/>
      <c r="N29" s="215" t="n"/>
      <c r="O29" s="215" t="n"/>
      <c r="P29" s="215" t="n"/>
      <c r="Q29" s="215" t="n"/>
      <c r="R29" s="215" t="n"/>
      <c r="S29" s="215" t="n"/>
      <c r="T29" s="215" t="n"/>
    </row>
    <row r="30" ht="15.75" customHeight="1" s="443">
      <c r="L30" s="215" t="n"/>
      <c r="M30" s="215" t="n"/>
      <c r="N30" s="215" t="n"/>
      <c r="O30" s="215" t="n"/>
      <c r="P30" s="215" t="n"/>
      <c r="Q30" s="215" t="n"/>
      <c r="R30" s="215" t="n"/>
      <c r="S30" s="215" t="n"/>
      <c r="T30" s="215" t="n"/>
    </row>
    <row r="31" ht="15.75" customHeight="1" s="443">
      <c r="A31" s="228" t="n"/>
      <c r="B31" s="228" t="n"/>
      <c r="C31" s="228" t="n"/>
      <c r="D31" s="75" t="n"/>
      <c r="E31" s="75" t="n"/>
      <c r="F31" s="229" t="n"/>
      <c r="G31" s="229" t="n"/>
      <c r="H31" s="229" t="n"/>
      <c r="I31" s="229" t="n"/>
      <c r="J31" s="230" t="n"/>
      <c r="K31" s="215" t="n"/>
      <c r="L31" s="215" t="n"/>
      <c r="M31" s="215" t="n"/>
      <c r="N31" s="215" t="n"/>
      <c r="O31" s="215" t="n"/>
      <c r="P31" s="215" t="n"/>
      <c r="Q31" s="215" t="n"/>
      <c r="R31" s="215" t="n"/>
      <c r="S31" s="215" t="n"/>
      <c r="T31" s="215" t="n"/>
    </row>
    <row r="32" ht="15.75" customHeight="1" s="443">
      <c r="A32" s="228" t="n"/>
      <c r="B32" s="228" t="n"/>
      <c r="C32" s="228" t="n"/>
      <c r="D32" s="75" t="n"/>
      <c r="E32" s="75" t="n"/>
      <c r="F32" s="229" t="n"/>
      <c r="G32" s="229" t="n"/>
      <c r="H32" s="229" t="n"/>
      <c r="I32" s="229" t="n"/>
      <c r="J32" s="230" t="n"/>
      <c r="K32" s="215" t="n"/>
      <c r="L32" s="215" t="n"/>
      <c r="M32" s="215" t="n"/>
      <c r="N32" s="215" t="n"/>
      <c r="O32" s="215" t="n"/>
      <c r="P32" s="215" t="n"/>
      <c r="Q32" s="215" t="n"/>
      <c r="R32" s="215" t="n"/>
      <c r="S32" s="215" t="n"/>
      <c r="T32" s="215" t="n"/>
    </row>
    <row r="33" ht="15.75" customHeight="1" s="443">
      <c r="A33" s="228" t="n"/>
      <c r="B33" s="228" t="n"/>
      <c r="C33" s="228" t="n"/>
      <c r="D33" s="75" t="n"/>
      <c r="E33" s="75" t="n"/>
      <c r="F33" s="229" t="n"/>
      <c r="G33" s="229" t="n"/>
      <c r="H33" s="229" t="n"/>
      <c r="I33" s="229" t="n"/>
      <c r="J33" s="230" t="n"/>
      <c r="K33" s="215" t="n"/>
      <c r="L33" s="215" t="n"/>
      <c r="M33" s="215" t="n"/>
      <c r="N33" s="215" t="n"/>
      <c r="O33" s="215" t="n"/>
      <c r="P33" s="215" t="n"/>
      <c r="Q33" s="215" t="n"/>
      <c r="R33" s="215" t="n"/>
      <c r="S33" s="215" t="n"/>
      <c r="T33" s="215" t="n"/>
    </row>
    <row r="34" ht="15.75" customHeight="1" s="443">
      <c r="A34" s="228" t="n"/>
      <c r="B34" s="228" t="n"/>
      <c r="C34" s="228" t="n"/>
      <c r="D34" s="75" t="n"/>
      <c r="E34" s="75" t="n"/>
      <c r="F34" s="229" t="n"/>
      <c r="G34" s="229" t="n"/>
      <c r="H34" s="229" t="n"/>
      <c r="I34" s="229" t="n"/>
      <c r="J34" s="230" t="n"/>
      <c r="K34" s="215" t="n"/>
      <c r="L34" s="215" t="n"/>
      <c r="M34" s="215" t="n"/>
      <c r="N34" s="215" t="n"/>
      <c r="O34" s="215" t="n"/>
      <c r="P34" s="215" t="n"/>
      <c r="Q34" s="215" t="n"/>
      <c r="R34" s="215" t="n"/>
      <c r="S34" s="215" t="n"/>
      <c r="T34" s="215" t="n"/>
    </row>
    <row r="35" ht="15.75" customHeight="1" s="443">
      <c r="A35" s="228" t="n"/>
      <c r="B35" s="228" t="n"/>
      <c r="C35" s="228" t="n"/>
      <c r="D35" s="75" t="n"/>
      <c r="E35" s="75" t="n"/>
      <c r="F35" s="229" t="n"/>
      <c r="G35" s="229" t="n"/>
      <c r="H35" s="229" t="n"/>
      <c r="I35" s="229" t="n"/>
      <c r="J35" s="230" t="n"/>
      <c r="K35" s="215" t="n"/>
      <c r="L35" s="215" t="n"/>
      <c r="M35" s="215" t="n"/>
      <c r="N35" s="215" t="n"/>
      <c r="O35" s="215" t="n"/>
      <c r="P35" s="215" t="n"/>
      <c r="Q35" s="215" t="n"/>
      <c r="R35" s="215" t="n"/>
      <c r="S35" s="215" t="n"/>
      <c r="T35" s="215" t="n"/>
    </row>
    <row r="36" ht="15.75" customHeight="1" s="443">
      <c r="A36" s="228" t="n"/>
      <c r="B36" s="228" t="n"/>
      <c r="C36" s="228" t="n"/>
      <c r="D36" s="75" t="n"/>
      <c r="E36" s="75" t="n"/>
      <c r="F36" s="229" t="n"/>
      <c r="G36" s="229" t="n"/>
      <c r="H36" s="229" t="n"/>
      <c r="I36" s="229" t="n"/>
      <c r="J36" s="230" t="n"/>
      <c r="K36" s="215" t="n"/>
      <c r="L36" s="215" t="n"/>
      <c r="M36" s="215" t="n"/>
      <c r="N36" s="215" t="n"/>
      <c r="O36" s="215" t="n"/>
      <c r="P36" s="215" t="n"/>
      <c r="Q36" s="215" t="n"/>
      <c r="R36" s="215" t="n"/>
      <c r="S36" s="215" t="n"/>
      <c r="T36" s="215" t="n"/>
    </row>
    <row r="37" ht="15.75" customHeight="1" s="443">
      <c r="A37" s="228" t="n"/>
      <c r="B37" s="228" t="n"/>
      <c r="C37" s="228" t="n"/>
      <c r="D37" s="75" t="n"/>
      <c r="E37" s="75" t="n"/>
      <c r="F37" s="229" t="n"/>
      <c r="G37" s="229" t="n"/>
      <c r="H37" s="229" t="n"/>
      <c r="I37" s="229" t="n"/>
      <c r="J37" s="230" t="n"/>
      <c r="K37" s="215" t="n"/>
      <c r="L37" s="215" t="n"/>
      <c r="M37" s="215" t="n"/>
      <c r="N37" s="215" t="n"/>
      <c r="O37" s="215" t="n"/>
      <c r="P37" s="215" t="n"/>
      <c r="Q37" s="215" t="n"/>
      <c r="R37" s="215" t="n"/>
      <c r="S37" s="215" t="n"/>
      <c r="T37" s="215" t="n"/>
    </row>
    <row r="38" ht="15.75" customHeight="1" s="443">
      <c r="A38" s="228" t="n"/>
      <c r="B38" s="228" t="n"/>
      <c r="C38" s="228" t="n"/>
      <c r="D38" s="75" t="n"/>
      <c r="E38" s="75" t="n"/>
      <c r="F38" s="229" t="n"/>
      <c r="G38" s="229" t="n"/>
      <c r="H38" s="229" t="n"/>
      <c r="I38" s="229" t="n"/>
      <c r="J38" s="230" t="n"/>
      <c r="K38" s="215" t="n"/>
      <c r="L38" s="215" t="n"/>
      <c r="M38" s="215" t="n"/>
      <c r="N38" s="215" t="n"/>
      <c r="O38" s="215" t="n"/>
      <c r="P38" s="215" t="n"/>
      <c r="Q38" s="215" t="n"/>
      <c r="R38" s="215" t="n"/>
      <c r="S38" s="215" t="n"/>
      <c r="T38" s="215" t="n"/>
    </row>
    <row r="39" ht="15.75" customHeight="1" s="443">
      <c r="A39" s="228" t="n"/>
      <c r="B39" s="228" t="n"/>
      <c r="C39" s="228" t="n"/>
      <c r="D39" s="75" t="n"/>
      <c r="E39" s="75" t="n"/>
      <c r="F39" s="229" t="n"/>
      <c r="G39" s="229" t="n"/>
      <c r="H39" s="229" t="n"/>
      <c r="I39" s="229" t="n"/>
      <c r="J39" s="230" t="n"/>
      <c r="K39" s="215" t="n"/>
      <c r="L39" s="215" t="n"/>
      <c r="M39" s="215" t="n"/>
      <c r="N39" s="215" t="n"/>
      <c r="O39" s="215" t="n"/>
      <c r="P39" s="215" t="n"/>
      <c r="Q39" s="215" t="n"/>
      <c r="R39" s="215" t="n"/>
      <c r="S39" s="215" t="n"/>
      <c r="T39" s="215" t="n"/>
    </row>
    <row r="40" ht="15.75" customHeight="1" s="443">
      <c r="A40" s="228" t="n"/>
      <c r="B40" s="228" t="n"/>
      <c r="C40" s="228" t="n"/>
      <c r="D40" s="75" t="n"/>
      <c r="E40" s="75" t="n"/>
      <c r="F40" s="229" t="n"/>
      <c r="G40" s="229" t="n"/>
      <c r="H40" s="229" t="n"/>
      <c r="I40" s="229" t="n"/>
      <c r="J40" s="230" t="n"/>
      <c r="K40" s="215" t="n"/>
      <c r="L40" s="215" t="n"/>
      <c r="M40" s="215" t="n"/>
      <c r="N40" s="215" t="n"/>
      <c r="O40" s="215" t="n"/>
      <c r="P40" s="215" t="n"/>
      <c r="Q40" s="215" t="n"/>
      <c r="R40" s="215" t="n"/>
      <c r="S40" s="215" t="n"/>
      <c r="T40" s="215" t="n"/>
    </row>
    <row r="41" ht="15.75" customHeight="1" s="443">
      <c r="A41" s="228" t="n"/>
      <c r="B41" s="228" t="n"/>
      <c r="C41" s="228" t="n"/>
      <c r="D41" s="75" t="n"/>
      <c r="E41" s="75" t="n"/>
      <c r="F41" s="229" t="n"/>
      <c r="G41" s="229" t="n"/>
      <c r="H41" s="229" t="n"/>
      <c r="I41" s="229" t="n"/>
      <c r="J41" s="230" t="n"/>
      <c r="K41" s="215" t="n"/>
      <c r="L41" s="215" t="n"/>
      <c r="M41" s="215" t="n"/>
      <c r="N41" s="215" t="n"/>
      <c r="O41" s="215" t="n"/>
      <c r="P41" s="215" t="n"/>
      <c r="Q41" s="215" t="n"/>
      <c r="R41" s="215" t="n"/>
      <c r="S41" s="215" t="n"/>
      <c r="T41" s="215" t="n"/>
    </row>
    <row r="42" ht="15.75" customHeight="1" s="443">
      <c r="A42" s="228" t="n"/>
      <c r="B42" s="228" t="n"/>
      <c r="C42" s="228" t="n"/>
      <c r="D42" s="75" t="n"/>
      <c r="E42" s="75" t="n"/>
      <c r="F42" s="229" t="n"/>
      <c r="G42" s="229" t="n"/>
      <c r="H42" s="229" t="n"/>
      <c r="I42" s="229" t="n"/>
      <c r="J42" s="230" t="n"/>
      <c r="K42" s="215" t="n"/>
      <c r="L42" s="215" t="n"/>
      <c r="M42" s="215" t="n"/>
      <c r="N42" s="215" t="n"/>
      <c r="O42" s="215" t="n"/>
      <c r="P42" s="215" t="n"/>
      <c r="Q42" s="215" t="n"/>
      <c r="R42" s="215" t="n"/>
      <c r="S42" s="215" t="n"/>
      <c r="T42" s="215" t="n"/>
    </row>
    <row r="43" ht="15.75" customHeight="1" s="443">
      <c r="A43" s="228" t="n"/>
      <c r="B43" s="228" t="n"/>
      <c r="C43" s="228" t="n"/>
      <c r="D43" s="75" t="n"/>
      <c r="E43" s="75" t="n"/>
      <c r="F43" s="229" t="n"/>
      <c r="G43" s="229" t="n"/>
      <c r="H43" s="229" t="n"/>
      <c r="I43" s="229" t="n"/>
      <c r="J43" s="230" t="n"/>
      <c r="K43" s="215" t="n"/>
      <c r="L43" s="215" t="n"/>
      <c r="M43" s="215" t="n"/>
      <c r="N43" s="215" t="n"/>
      <c r="O43" s="215" t="n"/>
      <c r="P43" s="215" t="n"/>
      <c r="Q43" s="215" t="n"/>
      <c r="R43" s="215" t="n"/>
      <c r="S43" s="215" t="n"/>
      <c r="T43" s="215" t="n"/>
    </row>
    <row r="44" ht="15.75" customHeight="1" s="443">
      <c r="A44" s="228" t="n"/>
      <c r="B44" s="228" t="n"/>
      <c r="C44" s="228" t="n"/>
      <c r="D44" s="75" t="n"/>
      <c r="E44" s="75" t="n"/>
      <c r="F44" s="229" t="n"/>
      <c r="G44" s="229" t="n"/>
      <c r="H44" s="229" t="n"/>
      <c r="I44" s="229" t="n"/>
      <c r="J44" s="230" t="n"/>
      <c r="K44" s="215" t="n"/>
      <c r="L44" s="215" t="n"/>
      <c r="M44" s="215" t="n"/>
      <c r="N44" s="215" t="n"/>
      <c r="O44" s="215" t="n"/>
      <c r="P44" s="215" t="n"/>
      <c r="Q44" s="215" t="n"/>
      <c r="R44" s="215" t="n"/>
      <c r="S44" s="215" t="n"/>
      <c r="T44" s="215" t="n"/>
    </row>
    <row r="45" ht="15.75" customHeight="1" s="443">
      <c r="A45" s="462" t="inlineStr">
        <is>
          <t>Danh sách thành viên dự án/ Project Team</t>
        </is>
      </c>
    </row>
    <row r="46" hidden="1" ht="15.75" customHeight="1" s="443"/>
    <row r="47" hidden="1" ht="15.75" customHeight="1" s="443"/>
    <row r="48" hidden="1" ht="15.75" customHeight="1" s="443"/>
    <row r="49" hidden="1" ht="15.75" customHeight="1" s="443"/>
    <row r="50" hidden="1" ht="15.75" customHeight="1" s="443"/>
    <row r="51" hidden="1" ht="15.75" customHeight="1" s="443"/>
    <row r="52" ht="15.75" customHeight="1" s="443"/>
    <row r="53" ht="15.75" customHeight="1" s="443">
      <c r="A53" s="232" t="n"/>
      <c r="B53" s="232" t="n"/>
      <c r="C53" s="232" t="n"/>
      <c r="D53" s="75" t="n"/>
      <c r="E53" s="75" t="n"/>
      <c r="F53" s="233" t="n"/>
      <c r="G53" s="233" t="n"/>
      <c r="H53" s="233" t="n"/>
      <c r="I53" s="233" t="n"/>
      <c r="J53" s="230" t="n"/>
      <c r="K53" s="215" t="n"/>
      <c r="L53" s="215" t="n"/>
      <c r="M53" s="215" t="n"/>
      <c r="N53" s="215" t="n"/>
      <c r="O53" s="215" t="n"/>
      <c r="P53" s="215" t="n"/>
      <c r="Q53" s="215" t="n"/>
      <c r="R53" s="215" t="n"/>
      <c r="S53" s="215" t="n"/>
      <c r="T53" s="215" t="n"/>
    </row>
    <row r="54" ht="15.75" customHeight="1" s="443">
      <c r="A54" s="463" t="inlineStr">
        <is>
          <t>#</t>
        </is>
      </c>
      <c r="B54" s="463" t="inlineStr">
        <is>
          <t>Họ tên / Full Name</t>
        </is>
      </c>
      <c r="C54" s="463" t="inlineStr">
        <is>
          <t>Vai trò / Role</t>
        </is>
      </c>
      <c r="D54" s="241" t="inlineStr">
        <is>
          <t>RA Đề Xuất
Proposed RA (%)</t>
        </is>
      </c>
      <c r="E54" s="241" t="inlineStr">
        <is>
          <t>RA Thực Tế
Actual RA (%)</t>
        </is>
      </c>
      <c r="F54" s="464" t="inlineStr">
        <is>
          <t>Kế hoạch / Plan</t>
        </is>
      </c>
      <c r="G54" s="446" t="n"/>
      <c r="H54" s="241" t="inlineStr">
        <is>
          <t>Khối lượng / Effort (MM)</t>
        </is>
      </c>
      <c r="I54" s="472" t="n"/>
      <c r="J54" s="465" t="inlineStr">
        <is>
          <t>Ghi chú / Note</t>
        </is>
      </c>
      <c r="K54" s="239" t="n"/>
      <c r="L54" s="239" t="n"/>
      <c r="M54" s="239" t="n"/>
      <c r="N54" s="239" t="n"/>
      <c r="O54" s="239" t="n"/>
      <c r="P54" s="239" t="n"/>
      <c r="Q54" s="239" t="n"/>
      <c r="R54" s="239" t="n"/>
      <c r="S54" s="239" t="n"/>
      <c r="T54" s="239" t="n"/>
    </row>
    <row r="55" ht="15.75" customHeight="1" s="443">
      <c r="A55" s="466" t="n"/>
      <c r="B55" s="466" t="n"/>
      <c r="C55" s="466" t="n"/>
      <c r="D55" s="466" t="n"/>
      <c r="E55" s="466" t="n"/>
      <c r="F55" s="241" t="inlineStr">
        <is>
          <t>Ngày bắt đầu / Start Date</t>
        </is>
      </c>
      <c r="G55" s="241" t="inlineStr">
        <is>
          <t>Ngày kết thúc / End Date</t>
        </is>
      </c>
      <c r="H55" s="241" t="inlineStr">
        <is>
          <t>Đề Xuất / Proposed</t>
        </is>
      </c>
      <c r="I55" s="241" t="inlineStr">
        <is>
          <t>Thực Tế / Actual</t>
        </is>
      </c>
      <c r="J55" s="467" t="n"/>
      <c r="K55" s="239" t="n"/>
      <c r="L55" s="239" t="n"/>
      <c r="M55" s="239" t="n"/>
      <c r="N55" s="239" t="n"/>
      <c r="O55" s="239" t="n"/>
      <c r="P55" s="239" t="n"/>
      <c r="Q55" s="239" t="n"/>
      <c r="R55" s="239" t="n"/>
      <c r="S55" s="239" t="n"/>
      <c r="T55" s="239" t="n"/>
    </row>
    <row r="56" ht="15.75" customHeight="1" s="443">
      <c r="A56" s="243" t="inlineStr">
        <is>
          <t>PMO group</t>
        </is>
      </c>
      <c r="B56" s="244" t="n"/>
      <c r="C56" s="244" t="n"/>
      <c r="D56" s="245" t="n"/>
      <c r="E56" s="246" t="n"/>
      <c r="F56" s="249" t="n"/>
      <c r="G56" s="249" t="n"/>
      <c r="H56" s="249" t="n"/>
      <c r="I56" s="250" t="n"/>
      <c r="J56" s="280" t="n"/>
      <c r="K56" s="239" t="n"/>
      <c r="L56" s="239" t="n"/>
      <c r="M56" s="239" t="n"/>
      <c r="N56" s="239" t="n"/>
      <c r="O56" s="239" t="n"/>
      <c r="P56" s="239" t="n"/>
      <c r="Q56" s="239" t="n"/>
      <c r="R56" s="239" t="n"/>
      <c r="S56" s="239" t="n"/>
      <c r="T56" s="239" t="n"/>
    </row>
    <row r="57" ht="15.75" customHeight="1" s="443">
      <c r="A57" s="252" t="n"/>
      <c r="B57" s="260" t="n"/>
      <c r="C57" s="260" t="n"/>
      <c r="D57" s="512" t="n"/>
      <c r="E57" s="512" t="n"/>
      <c r="F57" s="258" t="n"/>
      <c r="G57" s="257" t="n"/>
      <c r="H57" s="513" t="n"/>
      <c r="I57" s="514" t="n"/>
      <c r="J57" s="281" t="n"/>
      <c r="K57" s="239" t="n"/>
      <c r="L57" s="239" t="n"/>
      <c r="M57" s="239" t="n"/>
      <c r="N57" s="239" t="n"/>
      <c r="O57" s="239" t="n"/>
      <c r="P57" s="239" t="n"/>
      <c r="Q57" s="239" t="n"/>
      <c r="R57" s="239" t="n"/>
      <c r="S57" s="239" t="n"/>
      <c r="T57" s="239" t="n"/>
    </row>
    <row r="58" ht="19.5" customHeight="1" s="443"/>
    <row r="59" ht="15.75" customHeight="1" s="443"/>
    <row r="60" ht="19.5" customHeight="1" s="443"/>
    <row r="61" ht="19.5" customHeight="1" s="443"/>
    <row r="62" ht="19.5" customHeight="1" s="443"/>
    <row r="63" ht="19.5" customHeight="1" s="443"/>
    <row r="64" ht="18" customHeight="1" s="443"/>
    <row r="65" ht="18" customHeight="1" s="443"/>
    <row r="66" ht="18" customHeight="1" s="443"/>
    <row r="67" ht="18" customHeight="1" s="443"/>
    <row r="68" ht="18" customHeight="1" s="443"/>
    <row r="69" ht="18" customHeight="1" s="443"/>
    <row r="70" ht="15.75" customHeight="1" s="443"/>
    <row r="71" ht="15.75" customHeight="1" s="443"/>
    <row r="72" ht="15.75" customHeight="1" s="443"/>
    <row r="73" ht="15.75" customHeight="1" s="443"/>
    <row r="74" ht="15.75" customHeight="1" s="443"/>
    <row r="75" ht="15.75" customHeight="1" s="443"/>
    <row r="76" ht="15.75" customHeight="1" s="443"/>
    <row r="77" ht="15.75" customHeight="1" s="443"/>
    <row r="78" ht="15.75" customHeight="1" s="443"/>
    <row r="79" ht="15.75" customHeight="1" s="443"/>
    <row r="80" ht="15.75" customHeight="1" s="443"/>
    <row r="81" ht="15.75" customHeight="1" s="443"/>
    <row r="82" ht="15.75" customHeight="1" s="443"/>
    <row r="83" ht="15.75" customHeight="1" s="443"/>
    <row r="84" ht="15.75" customHeight="1" s="443"/>
    <row r="85" ht="15.75" customHeight="1" s="443"/>
    <row r="86" ht="15.75" customHeight="1" s="443"/>
    <row r="87" ht="15.75" customHeight="1" s="443"/>
    <row r="88" ht="15.75" customHeight="1" s="443"/>
    <row r="89" ht="15.75" customHeight="1" s="443"/>
    <row r="90" ht="15.75" customHeight="1" s="443"/>
    <row r="91" ht="15.75" customHeight="1" s="443"/>
    <row r="92" ht="15.75" customHeight="1" s="443"/>
    <row r="93" ht="15.75" customHeight="1" s="443"/>
    <row r="94" hidden="1" ht="15.75" customHeight="1" s="443"/>
    <row r="95" ht="15.75" customHeight="1" s="443"/>
    <row r="96" ht="15.75" customHeight="1" s="443"/>
    <row r="97" ht="15.75" customHeight="1" s="443"/>
    <row r="98" ht="15.75" customHeight="1" s="443"/>
    <row r="99" ht="15.75" customHeight="1" s="443"/>
    <row r="100" ht="15.75" customHeight="1" s="443"/>
    <row r="101" ht="15.75" customHeight="1" s="443"/>
    <row r="102" ht="15.75" customHeight="1" s="443"/>
    <row r="103" ht="15.75" customHeight="1" s="443"/>
    <row r="104" ht="15.75" customHeight="1" s="443"/>
    <row r="105" ht="15.75" customHeight="1" s="443"/>
    <row r="106" ht="15.75" customHeight="1" s="443"/>
    <row r="107" ht="15.75" customHeight="1" s="443"/>
    <row r="108" ht="15.75" customHeight="1" s="443"/>
    <row r="109" ht="15.75" customHeight="1" s="443"/>
    <row r="110" ht="15.75" customHeight="1" s="443"/>
    <row r="111" ht="15.75" customHeight="1" s="443"/>
    <row r="112" ht="15.75" customHeight="1" s="443"/>
    <row r="113" ht="15.75" customHeight="1" s="443"/>
    <row r="114" ht="15.75" customHeight="1" s="443"/>
    <row r="115" ht="15.75" customHeight="1" s="443"/>
    <row r="116" ht="15.75" customHeight="1" s="443"/>
    <row r="117" ht="15.75" customHeight="1" s="443"/>
    <row r="118" ht="15.75" customHeight="1" s="443"/>
    <row r="119" ht="15.75" customHeight="1" s="443"/>
    <row r="120" ht="15.75" customHeight="1" s="443"/>
    <row r="121" ht="15.75" customHeight="1" s="443"/>
    <row r="122" ht="15.75" customHeight="1" s="443"/>
    <row r="123" ht="15.75" customHeight="1" s="443"/>
    <row r="124" ht="15.75" customHeight="1" s="443"/>
    <row r="125" ht="15.75" customHeight="1" s="443"/>
    <row r="126" ht="15.75" customHeight="1" s="443"/>
    <row r="127" ht="15.75" customHeight="1" s="443"/>
    <row r="128" ht="15.75" customHeight="1" s="443"/>
    <row r="129" ht="15.75" customHeight="1" s="443"/>
    <row r="130" ht="15.75" customHeight="1" s="443"/>
    <row r="131" ht="15.75" customHeight="1" s="443"/>
    <row r="132" ht="15.75" customHeight="1" s="443"/>
    <row r="133" ht="15.75" customHeight="1" s="443"/>
    <row r="134" ht="15.75" customHeight="1" s="443"/>
    <row r="135" ht="15.75" customHeight="1" s="443"/>
    <row r="136" ht="15.75" customHeight="1" s="443"/>
    <row r="137" ht="15.75" customHeight="1" s="443"/>
    <row r="138" ht="15.75" customHeight="1" s="443"/>
    <row r="139" ht="15.75" customHeight="1" s="443"/>
    <row r="140" ht="15.75" customHeight="1" s="443"/>
    <row r="141" ht="15.75" customHeight="1" s="443"/>
    <row r="142" ht="15.75" customHeight="1" s="443"/>
    <row r="143" ht="15.75" customHeight="1" s="443"/>
    <row r="144" ht="15.75" customHeight="1" s="443"/>
    <row r="145" ht="15.75" customHeight="1" s="443"/>
    <row r="146" ht="15.75" customHeight="1" s="443"/>
    <row r="147" ht="15.75" customHeight="1" s="443"/>
    <row r="148" ht="15.75" customHeight="1" s="443"/>
    <row r="149" ht="15.75" customHeight="1" s="443"/>
    <row r="150" ht="15.75" customHeight="1" s="443"/>
    <row r="151" ht="15.75" customHeight="1" s="443"/>
    <row r="152" ht="15.75" customHeight="1" s="443"/>
    <row r="153" ht="15.75" customHeight="1" s="443"/>
    <row r="154" ht="15.75" customHeight="1" s="443"/>
    <row r="155" ht="15.75" customHeight="1" s="443"/>
    <row r="156" ht="15.75" customHeight="1" s="443"/>
    <row r="157" ht="15.75" customHeight="1" s="443"/>
    <row r="158" ht="15.75" customHeight="1" s="443"/>
    <row r="159" ht="15.75" customHeight="1" s="443"/>
    <row r="160" ht="15.75" customHeight="1" s="443"/>
    <row r="161" ht="15.75" customHeight="1" s="443"/>
    <row r="162" ht="15.75" customHeight="1" s="443"/>
    <row r="163" ht="15.75" customHeight="1" s="443"/>
    <row r="164" ht="15.75" customHeight="1" s="443"/>
    <row r="165" ht="15.75" customHeight="1" s="443"/>
    <row r="166" ht="15.75" customHeight="1" s="443"/>
    <row r="167" ht="15.75" customHeight="1" s="443"/>
    <row r="168" ht="15.75" customHeight="1" s="443"/>
    <row r="169" ht="15.75" customHeight="1" s="443"/>
    <row r="170" ht="15.75" customHeight="1" s="443"/>
    <row r="171" ht="15.75" customHeight="1" s="443"/>
    <row r="172" ht="15.75" customHeight="1" s="443"/>
    <row r="173" ht="15.75" customHeight="1" s="443"/>
    <row r="174" ht="15.75" customHeight="1" s="443"/>
    <row r="175" ht="15.75" customHeight="1" s="443"/>
    <row r="176" ht="15.75" customHeight="1" s="443"/>
    <row r="177" ht="15.75" customHeight="1" s="443"/>
    <row r="178" ht="15.75" customHeight="1" s="443"/>
    <row r="179" ht="15.75" customHeight="1" s="443"/>
    <row r="180" ht="15.75" customHeight="1" s="443"/>
    <row r="181" ht="15.75" customHeight="1" s="443"/>
    <row r="182" ht="15.75" customHeight="1" s="443"/>
    <row r="183" ht="15.75" customHeight="1" s="443"/>
    <row r="184" ht="15.75" customHeight="1" s="443"/>
    <row r="185" ht="15.75" customHeight="1" s="443"/>
    <row r="186" ht="15.75" customHeight="1" s="443"/>
    <row r="187" ht="15.75" customHeight="1" s="443"/>
    <row r="188" ht="15.75" customHeight="1" s="443"/>
    <row r="189" ht="15.75" customHeight="1" s="443"/>
    <row r="190" ht="15.75" customHeight="1" s="443"/>
    <row r="191" ht="15.75" customHeight="1" s="443"/>
    <row r="192" ht="15.75" customHeight="1" s="443"/>
    <row r="193" ht="15.75" customHeight="1" s="443"/>
    <row r="194" ht="15.75" customHeight="1" s="443"/>
    <row r="195" ht="15.75" customHeight="1" s="443"/>
    <row r="196" ht="15.75" customHeight="1" s="443"/>
    <row r="197" ht="15.75" customHeight="1" s="443"/>
    <row r="198" ht="15.75" customHeight="1" s="443"/>
    <row r="199" ht="15.75" customHeight="1" s="443"/>
    <row r="200" ht="15.75" customHeight="1" s="443"/>
    <row r="201" ht="15.75" customHeight="1" s="443"/>
    <row r="202" ht="15.75" customHeight="1" s="443"/>
    <row r="203" ht="15.75" customHeight="1" s="443"/>
    <row r="204" ht="15.75" customHeight="1" s="443"/>
    <row r="205" ht="15.75" customHeight="1" s="443"/>
    <row r="206" ht="15.75" customHeight="1" s="443"/>
    <row r="207" ht="15.75" customHeight="1" s="443"/>
    <row r="208" ht="15.75" customHeight="1" s="443"/>
    <row r="209" ht="15.75" customHeight="1" s="443"/>
    <row r="210" ht="15.75" customHeight="1" s="443"/>
    <row r="211" ht="15.75" customHeight="1" s="443"/>
    <row r="212" ht="15.75" customHeight="1" s="443"/>
    <row r="213" ht="15.75" customHeight="1" s="443"/>
    <row r="214" ht="15.75" customHeight="1" s="443"/>
    <row r="215" ht="15.75" customHeight="1" s="443"/>
    <row r="216" ht="15.75" customHeight="1" s="443"/>
    <row r="217" ht="15.75" customHeight="1" s="443"/>
    <row r="218" ht="15.75" customHeight="1" s="443"/>
    <row r="219" ht="15.75" customHeight="1" s="443"/>
    <row r="220" ht="15.75" customHeight="1" s="443"/>
    <row r="221" ht="15.75" customHeight="1" s="443"/>
    <row r="222" ht="15.75" customHeight="1" s="443"/>
    <row r="223" ht="15.75" customHeight="1" s="443"/>
    <row r="224" ht="15.75" customHeight="1" s="443"/>
    <row r="225" ht="15.75" customHeight="1" s="443"/>
    <row r="226" ht="15.75" customHeight="1" s="443"/>
    <row r="227" ht="15.75" customHeight="1" s="443"/>
    <row r="228" ht="15.75" customHeight="1" s="443"/>
    <row r="229" ht="15.75" customHeight="1" s="443"/>
    <row r="230" ht="15.75" customHeight="1" s="443"/>
    <row r="231" ht="15.75" customHeight="1" s="443"/>
    <row r="232" ht="15.75" customHeight="1" s="443"/>
    <row r="233" ht="15.75" customHeight="1" s="443"/>
    <row r="234" ht="15.75" customHeight="1" s="443"/>
    <row r="235" ht="15.75" customHeight="1" s="443"/>
    <row r="236" ht="15.75" customHeight="1" s="443"/>
    <row r="237" ht="15.75" customHeight="1" s="443"/>
    <row r="238" ht="15.75" customHeight="1" s="443"/>
    <row r="239" ht="15.75" customHeight="1" s="443"/>
    <row r="240" ht="15.75" customHeight="1" s="443"/>
    <row r="241" ht="15.75" customHeight="1" s="443"/>
    <row r="242" ht="15.75" customHeight="1" s="443"/>
    <row r="243" ht="15.75" customHeight="1" s="443"/>
    <row r="244" ht="15.75" customHeight="1" s="443"/>
    <row r="245" ht="15.75" customHeight="1" s="443"/>
    <row r="246" ht="15.75" customHeight="1" s="443"/>
    <row r="247" ht="15.75" customHeight="1" s="443"/>
    <row r="248" ht="15.75" customHeight="1" s="443"/>
    <row r="249" ht="15.75" customHeight="1" s="443"/>
    <row r="250" ht="15.75" customHeight="1" s="443"/>
    <row r="251" ht="15.75" customHeight="1" s="443"/>
    <row r="252" ht="15.75" customHeight="1" s="443"/>
    <row r="253" ht="15.75" customHeight="1" s="443"/>
    <row r="254" ht="15.75" customHeight="1" s="443"/>
    <row r="255" ht="15.75" customHeight="1" s="443"/>
    <row r="256" ht="15.75" customHeight="1" s="443"/>
    <row r="257" ht="15.75" customHeight="1" s="443"/>
    <row r="258" ht="15.75" customHeight="1" s="443"/>
    <row r="259" ht="15.75" customHeight="1" s="443"/>
    <row r="260" ht="15.75" customHeight="1" s="443"/>
    <row r="261" ht="15.75" customHeight="1" s="443"/>
    <row r="262" ht="15.75" customHeight="1" s="443"/>
    <row r="263" ht="15.75" customHeight="1" s="443"/>
    <row r="264" ht="15.75" customHeight="1" s="443"/>
    <row r="265" ht="15.75" customHeight="1" s="443"/>
    <row r="266" ht="15.75" customHeight="1" s="443"/>
    <row r="267" ht="15.75" customHeight="1" s="443"/>
    <row r="268" ht="15.75" customHeight="1" s="443"/>
    <row r="269" ht="15.75" customHeight="1" s="443"/>
    <row r="270" ht="15.75" customHeight="1" s="443"/>
    <row r="271" ht="15.75" customHeight="1" s="443"/>
    <row r="272" ht="15.75" customHeight="1" s="443"/>
    <row r="273" ht="15.75" customHeight="1" s="443"/>
    <row r="274" ht="15.75" customHeight="1" s="443"/>
    <row r="275" ht="15.75" customHeight="1" s="443"/>
    <row r="276" ht="15.75" customHeight="1" s="443"/>
    <row r="277" ht="15.75" customHeight="1" s="443"/>
    <row r="278" ht="15.75" customHeight="1" s="443"/>
    <row r="279" ht="15.75" customHeight="1" s="443"/>
    <row r="280" ht="15.75" customHeight="1" s="443"/>
    <row r="281" ht="15.75" customHeight="1" s="443"/>
    <row r="282" ht="15.75" customHeight="1" s="443"/>
    <row r="283" ht="15.75" customHeight="1" s="443"/>
    <row r="284" ht="15.75" customHeight="1" s="443"/>
    <row r="285" ht="15.75" customHeight="1" s="443"/>
    <row r="286" ht="15.75" customHeight="1" s="443"/>
    <row r="287" ht="15.75" customHeight="1" s="443"/>
    <row r="288" ht="15.75" customHeight="1" s="443"/>
    <row r="289" ht="15.75" customHeight="1" s="443"/>
    <row r="290" ht="15.75" customHeight="1" s="443"/>
    <row r="291" ht="15.75" customHeight="1" s="443"/>
    <row r="292" ht="15.75" customHeight="1" s="443"/>
    <row r="293" ht="15.75" customHeight="1" s="443"/>
    <row r="294" ht="15.75" customHeight="1" s="443"/>
    <row r="295" ht="15.75" customHeight="1" s="443"/>
    <row r="296" ht="15.75" customHeight="1" s="443"/>
    <row r="297" ht="15.75" customHeight="1" s="443"/>
    <row r="298" ht="15.75" customHeight="1" s="443"/>
    <row r="299" ht="15.75" customHeight="1" s="443"/>
    <row r="300" ht="15.75" customHeight="1" s="443"/>
    <row r="301" ht="15.75" customHeight="1" s="443"/>
    <row r="302" ht="15.75" customHeight="1" s="443"/>
    <row r="303" ht="15.75" customHeight="1" s="443"/>
    <row r="304" ht="15.75" customHeight="1" s="443"/>
    <row r="305" ht="15.75" customHeight="1" s="443"/>
    <row r="306" ht="15.75" customHeight="1" s="443"/>
    <row r="307" ht="15.75" customHeight="1" s="443"/>
    <row r="308" ht="15.75" customHeight="1" s="443"/>
    <row r="309" ht="15.75" customHeight="1" s="443"/>
    <row r="310" ht="15.75" customHeight="1" s="443"/>
    <row r="311" ht="15.75" customHeight="1" s="443"/>
    <row r="312" ht="15.75" customHeight="1" s="443"/>
    <row r="313" ht="15.75" customHeight="1" s="443"/>
    <row r="314" ht="15.75" customHeight="1" s="443"/>
    <row r="315" ht="15.75" customHeight="1" s="443"/>
    <row r="316" ht="15.75" customHeight="1" s="443"/>
    <row r="317" ht="15.75" customHeight="1" s="443"/>
    <row r="318" ht="15.75" customHeight="1" s="443"/>
    <row r="319" ht="15.75" customHeight="1" s="443"/>
    <row r="320" ht="15.75" customHeight="1" s="443"/>
    <row r="321" ht="15.75" customHeight="1" s="443"/>
    <row r="322" ht="15.75" customHeight="1" s="443"/>
    <row r="323" ht="15.75" customHeight="1" s="443"/>
    <row r="324" ht="15.75" customHeight="1" s="443"/>
    <row r="325" ht="15.75" customHeight="1" s="443"/>
    <row r="326" ht="15.75" customHeight="1" s="443"/>
    <row r="327" ht="15.75" customHeight="1" s="443"/>
    <row r="328" ht="15.75" customHeight="1" s="443"/>
    <row r="329" ht="15.75" customHeight="1" s="443"/>
    <row r="330" ht="15.75" customHeight="1" s="443"/>
    <row r="331" ht="15.75" customHeight="1" s="443"/>
    <row r="332" ht="15.75" customHeight="1" s="443"/>
    <row r="333" ht="15.75" customHeight="1" s="443"/>
    <row r="334" ht="15.75" customHeight="1" s="443"/>
    <row r="335" ht="15.75" customHeight="1" s="443"/>
    <row r="336" ht="15.75" customHeight="1" s="443"/>
    <row r="337" ht="15.75" customHeight="1" s="443"/>
    <row r="338" ht="15.75" customHeight="1" s="443"/>
    <row r="339" ht="15.75" customHeight="1" s="443"/>
    <row r="340" ht="15.75" customHeight="1" s="443"/>
    <row r="341" ht="15.75" customHeight="1" s="443"/>
    <row r="342" ht="15.75" customHeight="1" s="443"/>
    <row r="343" ht="15.75" customHeight="1" s="443"/>
    <row r="344" ht="15.75" customHeight="1" s="443"/>
    <row r="345" ht="15.75" customHeight="1" s="443"/>
    <row r="346" ht="15.75" customHeight="1" s="443"/>
    <row r="347" ht="15.75" customHeight="1" s="443"/>
    <row r="348" ht="15.75" customHeight="1" s="443"/>
    <row r="349" ht="15.75" customHeight="1" s="443"/>
    <row r="350" ht="15.75" customHeight="1" s="443"/>
    <row r="351" ht="15.75" customHeight="1" s="443"/>
    <row r="352" ht="15.75" customHeight="1" s="443"/>
    <row r="353" ht="15.75" customHeight="1" s="443"/>
    <row r="354" ht="15.75" customHeight="1" s="443"/>
    <row r="355" ht="15.75" customHeight="1" s="443"/>
    <row r="356" ht="15.75" customHeight="1" s="443"/>
    <row r="357" ht="15.75" customHeight="1" s="443"/>
    <row r="358" ht="15.75" customHeight="1" s="443"/>
    <row r="359" ht="15.75" customHeight="1" s="443"/>
    <row r="360" ht="15.75" customHeight="1" s="443"/>
    <row r="361" ht="15.75" customHeight="1" s="443"/>
    <row r="362" ht="15.75" customHeight="1" s="443"/>
    <row r="363" ht="15.75" customHeight="1" s="443"/>
    <row r="364" ht="15.75" customHeight="1" s="443"/>
    <row r="365" ht="15.75" customHeight="1" s="443"/>
    <row r="366" ht="15.75" customHeight="1" s="443"/>
    <row r="367" ht="15.75" customHeight="1" s="443"/>
    <row r="368" ht="15.75" customHeight="1" s="443"/>
    <row r="369" ht="15.75" customHeight="1" s="443"/>
    <row r="370" ht="15.75" customHeight="1" s="443"/>
    <row r="371" ht="15.75" customHeight="1" s="443"/>
    <row r="372" ht="15.75" customHeight="1" s="443"/>
    <row r="373" ht="15.75" customHeight="1" s="443"/>
    <row r="374" ht="15.75" customHeight="1" s="443"/>
    <row r="375" ht="15.75" customHeight="1" s="443"/>
    <row r="376" ht="15.75" customHeight="1" s="443"/>
    <row r="377" ht="15.75" customHeight="1" s="443"/>
    <row r="378" ht="15.75" customHeight="1" s="443"/>
    <row r="379" ht="15.75" customHeight="1" s="443"/>
    <row r="380" ht="15.75" customHeight="1" s="443"/>
    <row r="381" ht="15.75" customHeight="1" s="443"/>
    <row r="382" ht="15.75" customHeight="1" s="443"/>
    <row r="383" ht="15.75" customHeight="1" s="443"/>
    <row r="384" ht="15.75" customHeight="1" s="443"/>
    <row r="385" ht="15.75" customHeight="1" s="443"/>
    <row r="386" ht="15.75" customHeight="1" s="443"/>
    <row r="387" ht="15.75" customHeight="1" s="443"/>
    <row r="388" ht="15.75" customHeight="1" s="443"/>
    <row r="389" ht="15.75" customHeight="1" s="443"/>
    <row r="390" ht="15.75" customHeight="1" s="443"/>
    <row r="391" ht="15.75" customHeight="1" s="443"/>
    <row r="392" ht="15.75" customHeight="1" s="443"/>
    <row r="393" ht="15.75" customHeight="1" s="443"/>
    <row r="394" ht="15.75" customHeight="1" s="443"/>
    <row r="395" ht="15.75" customHeight="1" s="443"/>
    <row r="396" ht="15.75" customHeight="1" s="443"/>
    <row r="397" ht="15.75" customHeight="1" s="443"/>
    <row r="398" ht="15.75" customHeight="1" s="443"/>
    <row r="399" ht="15.75" customHeight="1" s="443"/>
    <row r="400" ht="15.75" customHeight="1" s="443"/>
    <row r="401" ht="15.75" customHeight="1" s="443"/>
    <row r="402" ht="15.75" customHeight="1" s="443"/>
    <row r="403" ht="15.75" customHeight="1" s="443"/>
    <row r="404" ht="15.75" customHeight="1" s="443"/>
    <row r="405" ht="15.75" customHeight="1" s="443"/>
    <row r="406" ht="15.75" customHeight="1" s="443"/>
    <row r="407" ht="15.75" customHeight="1" s="443"/>
    <row r="408" ht="15.75" customHeight="1" s="443"/>
    <row r="409" ht="15.75" customHeight="1" s="443"/>
    <row r="410" ht="15.75" customHeight="1" s="443"/>
    <row r="411" ht="15.75" customHeight="1" s="443"/>
    <row r="412" ht="15.75" customHeight="1" s="443"/>
    <row r="413" ht="15.75" customHeight="1" s="443"/>
    <row r="414" ht="15.75" customHeight="1" s="443"/>
    <row r="415" ht="15.75" customHeight="1" s="443"/>
    <row r="416" ht="15.75" customHeight="1" s="443"/>
    <row r="417" ht="15.75" customHeight="1" s="443"/>
    <row r="418" ht="15.75" customHeight="1" s="443"/>
    <row r="419" ht="15.75" customHeight="1" s="443"/>
    <row r="420" ht="15.75" customHeight="1" s="443"/>
    <row r="421" ht="15.75" customHeight="1" s="443"/>
    <row r="422" ht="15.75" customHeight="1" s="443"/>
    <row r="423" ht="15.75" customHeight="1" s="443"/>
    <row r="424" ht="15.75" customHeight="1" s="443"/>
    <row r="425" ht="15.75" customHeight="1" s="443"/>
    <row r="426" ht="15.75" customHeight="1" s="443"/>
    <row r="427" ht="15.75" customHeight="1" s="443"/>
    <row r="428" ht="15.75" customHeight="1" s="443"/>
    <row r="429" ht="15.75" customHeight="1" s="443"/>
    <row r="430" ht="15.75" customHeight="1" s="443"/>
    <row r="431" ht="15.75" customHeight="1" s="443"/>
    <row r="432" ht="15.75" customHeight="1" s="443"/>
    <row r="433" ht="15.75" customHeight="1" s="443"/>
    <row r="434" ht="15.75" customHeight="1" s="443"/>
    <row r="435" ht="15.75" customHeight="1" s="443"/>
    <row r="436" ht="15.75" customHeight="1" s="443"/>
    <row r="437" ht="15.75" customHeight="1" s="443"/>
    <row r="438" ht="15.75" customHeight="1" s="443"/>
    <row r="439" ht="15.75" customHeight="1" s="443"/>
    <row r="440" ht="15.75" customHeight="1" s="443"/>
    <row r="441" ht="15.75" customHeight="1" s="443"/>
    <row r="442" ht="15.75" customHeight="1" s="443"/>
    <row r="443" ht="15.75" customHeight="1" s="443"/>
    <row r="444" ht="15.75" customHeight="1" s="443"/>
    <row r="445" ht="15.75" customHeight="1" s="443"/>
    <row r="446" ht="15.75" customHeight="1" s="443"/>
    <row r="447" ht="15.75" customHeight="1" s="443"/>
    <row r="448" ht="15.75" customHeight="1" s="443"/>
    <row r="449" ht="15.75" customHeight="1" s="443"/>
    <row r="450" ht="15.75" customHeight="1" s="443"/>
    <row r="451" ht="15.75" customHeight="1" s="443"/>
    <row r="452" ht="15.75" customHeight="1" s="443"/>
    <row r="453" ht="15.75" customHeight="1" s="443"/>
    <row r="454" ht="15.75" customHeight="1" s="443"/>
    <row r="455" ht="15.75" customHeight="1" s="443"/>
    <row r="456" ht="15.75" customHeight="1" s="443"/>
    <row r="457" ht="15.75" customHeight="1" s="443"/>
    <row r="458" ht="15.75" customHeight="1" s="443"/>
    <row r="459" ht="15.75" customHeight="1" s="443"/>
    <row r="460" ht="15.75" customHeight="1" s="443"/>
    <row r="461" ht="15.75" customHeight="1" s="443"/>
    <row r="462" ht="15.75" customHeight="1" s="443"/>
    <row r="463" ht="15.75" customHeight="1" s="443"/>
    <row r="464" ht="15.75" customHeight="1" s="443"/>
    <row r="465" ht="15.75" customHeight="1" s="443"/>
    <row r="466" ht="15.75" customHeight="1" s="443"/>
    <row r="467" ht="15.75" customHeight="1" s="443"/>
    <row r="468" ht="15.75" customHeight="1" s="443"/>
    <row r="469" ht="15.75" customHeight="1" s="443"/>
    <row r="470" ht="15.75" customHeight="1" s="443"/>
    <row r="471" ht="15.75" customHeight="1" s="443"/>
    <row r="472" ht="15.75" customHeight="1" s="443"/>
    <row r="473" ht="15.75" customHeight="1" s="443"/>
    <row r="474" ht="15.75" customHeight="1" s="443"/>
    <row r="475" ht="15.75" customHeight="1" s="443"/>
    <row r="476" ht="15.75" customHeight="1" s="443"/>
    <row r="477" ht="15.75" customHeight="1" s="443"/>
    <row r="478" ht="15.75" customHeight="1" s="443"/>
    <row r="479" ht="15.75" customHeight="1" s="443"/>
    <row r="480" ht="15.75" customHeight="1" s="443"/>
    <row r="481" ht="15.75" customHeight="1" s="443"/>
    <row r="482" ht="15.75" customHeight="1" s="443"/>
    <row r="483" ht="15.75" customHeight="1" s="443"/>
    <row r="484" ht="15.75" customHeight="1" s="443"/>
    <row r="485" ht="15.75" customHeight="1" s="443"/>
    <row r="486" ht="15.75" customHeight="1" s="443"/>
    <row r="487" ht="15.75" customHeight="1" s="443"/>
    <row r="488" ht="15.75" customHeight="1" s="443"/>
    <row r="489" ht="15.75" customHeight="1" s="443"/>
    <row r="490" ht="15.75" customHeight="1" s="443"/>
    <row r="491" ht="15.75" customHeight="1" s="443"/>
    <row r="492" ht="15.75" customHeight="1" s="443"/>
    <row r="493" ht="15.75" customHeight="1" s="443"/>
    <row r="494" ht="15.75" customHeight="1" s="443"/>
    <row r="495" ht="15.75" customHeight="1" s="443"/>
    <row r="496" ht="15.75" customHeight="1" s="443"/>
    <row r="497" ht="15.75" customHeight="1" s="443"/>
    <row r="498" ht="15.75" customHeight="1" s="443"/>
    <row r="499" ht="15.75" customHeight="1" s="443"/>
    <row r="500" ht="15.75" customHeight="1" s="443"/>
    <row r="501" ht="15.75" customHeight="1" s="443"/>
    <row r="502" ht="15.75" customHeight="1" s="443"/>
    <row r="503" ht="15.75" customHeight="1" s="443"/>
    <row r="504" ht="15.75" customHeight="1" s="443"/>
    <row r="505" ht="15.75" customHeight="1" s="443"/>
    <row r="506" ht="15.75" customHeight="1" s="443"/>
    <row r="507" ht="15.75" customHeight="1" s="443"/>
    <row r="508" ht="15.75" customHeight="1" s="443"/>
    <row r="509" ht="15.75" customHeight="1" s="443"/>
    <row r="510" ht="15.75" customHeight="1" s="443"/>
    <row r="511" ht="15.75" customHeight="1" s="443"/>
    <row r="512" ht="15.75" customHeight="1" s="443"/>
    <row r="513" ht="15.75" customHeight="1" s="443"/>
    <row r="514" ht="15.75" customHeight="1" s="443"/>
    <row r="515" ht="15.75" customHeight="1" s="443"/>
    <row r="516" ht="15.75" customHeight="1" s="443"/>
    <row r="517" ht="15.75" customHeight="1" s="443"/>
    <row r="518" ht="15.75" customHeight="1" s="443"/>
    <row r="519" ht="15.75" customHeight="1" s="443"/>
    <row r="520" ht="15.75" customHeight="1" s="443"/>
    <row r="521" ht="15.75" customHeight="1" s="443"/>
    <row r="522" ht="15.75" customHeight="1" s="443"/>
    <row r="523" ht="15.75" customHeight="1" s="443"/>
    <row r="524" ht="15.75" customHeight="1" s="443"/>
    <row r="525" ht="15.75" customHeight="1" s="443"/>
    <row r="526" ht="15.75" customHeight="1" s="443"/>
    <row r="527" ht="15.75" customHeight="1" s="443"/>
    <row r="528" ht="15.75" customHeight="1" s="443"/>
    <row r="529" ht="15.75" customHeight="1" s="443"/>
    <row r="530" ht="15.75" customHeight="1" s="443"/>
    <row r="531" ht="15.75" customHeight="1" s="443"/>
    <row r="532" ht="15.75" customHeight="1" s="443"/>
    <row r="533" ht="15.75" customHeight="1" s="443"/>
    <row r="534" ht="15.75" customHeight="1" s="443"/>
    <row r="535" ht="15.75" customHeight="1" s="443"/>
    <row r="536" ht="15.75" customHeight="1" s="443"/>
    <row r="537" ht="15.75" customHeight="1" s="443"/>
    <row r="538" ht="15.75" customHeight="1" s="443"/>
    <row r="539" ht="15.75" customHeight="1" s="443"/>
    <row r="540" ht="15.75" customHeight="1" s="443"/>
    <row r="541" ht="15.75" customHeight="1" s="443"/>
    <row r="542" ht="15.75" customHeight="1" s="443"/>
    <row r="543" ht="15.75" customHeight="1" s="443"/>
    <row r="544" ht="15.75" customHeight="1" s="443"/>
    <row r="545" ht="15.75" customHeight="1" s="443"/>
    <row r="546" ht="15.75" customHeight="1" s="443"/>
    <row r="547" ht="15.75" customHeight="1" s="443"/>
    <row r="548" ht="15.75" customHeight="1" s="443"/>
    <row r="549" ht="15.75" customHeight="1" s="443"/>
    <row r="550" ht="15.75" customHeight="1" s="443"/>
    <row r="551" ht="15.75" customHeight="1" s="443"/>
    <row r="552" ht="15.75" customHeight="1" s="443"/>
    <row r="553" ht="15.75" customHeight="1" s="443"/>
    <row r="554" ht="15.75" customHeight="1" s="443"/>
    <row r="555" ht="15.75" customHeight="1" s="443"/>
    <row r="556" ht="15.75" customHeight="1" s="443"/>
    <row r="557" ht="15.75" customHeight="1" s="443"/>
    <row r="558" ht="15.75" customHeight="1" s="443"/>
    <row r="559" ht="15.75" customHeight="1" s="443"/>
    <row r="560" ht="15.75" customHeight="1" s="443"/>
    <row r="561" ht="15.75" customHeight="1" s="443"/>
    <row r="562" ht="15.75" customHeight="1" s="443"/>
    <row r="563" ht="15.75" customHeight="1" s="443"/>
    <row r="564" ht="15.75" customHeight="1" s="443"/>
    <row r="565" ht="15.75" customHeight="1" s="443"/>
    <row r="566" ht="15.75" customHeight="1" s="443"/>
    <row r="567" ht="15.75" customHeight="1" s="443"/>
    <row r="568" ht="15.75" customHeight="1" s="443"/>
    <row r="569" ht="15.75" customHeight="1" s="443"/>
    <row r="570" ht="15.75" customHeight="1" s="443"/>
    <row r="571" ht="15.75" customHeight="1" s="443"/>
    <row r="572" ht="15.75" customHeight="1" s="443"/>
    <row r="573" ht="15.75" customHeight="1" s="443"/>
    <row r="574" ht="15.75" customHeight="1" s="443"/>
    <row r="575" ht="15.75" customHeight="1" s="443"/>
    <row r="576" ht="15.75" customHeight="1" s="443"/>
    <row r="577" ht="15.75" customHeight="1" s="443"/>
    <row r="578" ht="15.75" customHeight="1" s="443"/>
    <row r="579" ht="15.75" customHeight="1" s="443"/>
    <row r="580" ht="15.75" customHeight="1" s="443"/>
    <row r="581" ht="15.75" customHeight="1" s="443"/>
    <row r="582" ht="15.75" customHeight="1" s="443"/>
    <row r="583" ht="15.75" customHeight="1" s="443"/>
    <row r="584" ht="15.75" customHeight="1" s="443"/>
    <row r="585" ht="15.75" customHeight="1" s="443"/>
    <row r="586" ht="15.75" customHeight="1" s="443"/>
    <row r="587" ht="15.75" customHeight="1" s="443"/>
    <row r="588" ht="15.75" customHeight="1" s="443"/>
    <row r="589" ht="15.75" customHeight="1" s="443"/>
    <row r="590" ht="15.75" customHeight="1" s="443"/>
    <row r="591" ht="15.75" customHeight="1" s="443"/>
    <row r="592" ht="15.75" customHeight="1" s="443"/>
    <row r="593" ht="15.75" customHeight="1" s="443"/>
    <row r="594" ht="15.75" customHeight="1" s="443"/>
    <row r="595" ht="15.75" customHeight="1" s="443"/>
    <row r="596" ht="15.75" customHeight="1" s="443"/>
    <row r="597" ht="15.75" customHeight="1" s="443"/>
    <row r="598" ht="15.75" customHeight="1" s="443"/>
    <row r="599" ht="15.75" customHeight="1" s="443"/>
    <row r="600" ht="15.75" customHeight="1" s="443"/>
    <row r="601" ht="15.75" customHeight="1" s="443"/>
    <row r="602" ht="15.75" customHeight="1" s="443"/>
    <row r="603" ht="15.75" customHeight="1" s="443"/>
    <row r="604" ht="15.75" customHeight="1" s="443"/>
    <row r="605" ht="15.75" customHeight="1" s="443"/>
    <row r="606" ht="15.75" customHeight="1" s="443"/>
    <row r="607" ht="15.75" customHeight="1" s="443"/>
    <row r="608" ht="15.75" customHeight="1" s="443"/>
    <row r="609" ht="15.75" customHeight="1" s="443"/>
    <row r="610" ht="15.75" customHeight="1" s="443"/>
    <row r="611" ht="15.75" customHeight="1" s="443"/>
    <row r="612" ht="15.75" customHeight="1" s="443"/>
    <row r="613" ht="15.75" customHeight="1" s="443"/>
    <row r="614" ht="15.75" customHeight="1" s="443"/>
    <row r="615" ht="15.75" customHeight="1" s="443"/>
    <row r="616" ht="15.75" customHeight="1" s="443"/>
  </sheetData>
  <mergeCells count="13">
    <mergeCell ref="A45:T52"/>
    <mergeCell ref="F54:G54"/>
    <mergeCell ref="A4:T4"/>
    <mergeCell ref="H54:I54"/>
    <mergeCell ref="J2:T2"/>
    <mergeCell ref="J54:J55"/>
    <mergeCell ref="C2:I2"/>
    <mergeCell ref="A54:A55"/>
    <mergeCell ref="C54:C55"/>
    <mergeCell ref="B54:B55"/>
    <mergeCell ref="A5:K30"/>
    <mergeCell ref="E54:E55"/>
    <mergeCell ref="D54:D55"/>
  </mergeCells>
  <conditionalFormatting sqref="I56:I57">
    <cfRule type="containsText" priority="1" operator="containsText" dxfId="6" text="Critical">
      <formula>NOT(ISERROR(SEARCH(("Critical"),(I56))))</formula>
    </cfRule>
    <cfRule type="containsText" priority="2" operator="containsText" dxfId="7" text="Good">
      <formula>NOT(ISERROR(SEARCH(("Good"),(I56))))</formula>
    </cfRule>
    <cfRule type="containsText" priority="3" operator="containsText" dxfId="8" text="Warning">
      <formula>NOT(ISERROR(SEARCH(("Warning"),(I56))))</formula>
    </cfRule>
  </conditionalFormatting>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D22"/>
  <sheetViews>
    <sheetView showGridLines="0" workbookViewId="0">
      <selection activeCell="A1" sqref="A1"/>
    </sheetView>
  </sheetViews>
  <sheetFormatPr baseColWidth="8" defaultColWidth="12.63" defaultRowHeight="15" customHeight="1"/>
  <cols>
    <col width="3.63" customWidth="1" style="443" min="1" max="1"/>
    <col width="12.13" customWidth="1" style="443" min="2" max="4"/>
    <col width="27.88" customWidth="1" style="443" min="5" max="5"/>
    <col width="12.5" customWidth="1" style="443" min="6" max="6"/>
    <col width="20.25" customWidth="1" style="443" min="7" max="7"/>
    <col width="11.63" customWidth="1" style="443" min="8" max="8"/>
    <col width="11.13" customWidth="1" style="443" min="9" max="9"/>
    <col width="12.13" customWidth="1" style="443" min="10" max="10"/>
    <col width="20" customWidth="1" style="443" min="11" max="11"/>
    <col hidden="1" width="12.63" customWidth="1" style="443" min="12" max="30"/>
  </cols>
  <sheetData>
    <row r="1" ht="7.5" customHeight="1" s="443">
      <c r="A1" s="214" t="n"/>
      <c r="B1" s="214" t="n"/>
      <c r="C1" s="214" t="n"/>
      <c r="D1" s="214" t="n"/>
      <c r="E1" s="214" t="n"/>
      <c r="F1" s="214" t="n"/>
      <c r="G1" s="214" t="n"/>
      <c r="H1" s="214" t="n"/>
      <c r="I1" s="214" t="n"/>
      <c r="J1" s="214" t="n"/>
      <c r="K1" s="215" t="n"/>
      <c r="L1" s="215" t="n"/>
      <c r="M1" s="215" t="n"/>
      <c r="N1" s="215" t="n"/>
      <c r="O1" s="215" t="n"/>
      <c r="P1" s="215" t="n"/>
      <c r="Q1" s="215" t="n"/>
      <c r="R1" s="215" t="n"/>
      <c r="S1" s="215" t="n"/>
      <c r="T1" s="215" t="n"/>
      <c r="U1" s="215" t="n"/>
      <c r="V1" s="215" t="n"/>
      <c r="W1" s="215" t="n"/>
      <c r="X1" s="215" t="n"/>
      <c r="Y1" s="215" t="n"/>
      <c r="Z1" s="215" t="n"/>
      <c r="AA1" s="215" t="n"/>
      <c r="AB1" s="215" t="n"/>
      <c r="AC1" s="215" t="n"/>
      <c r="AD1" s="215" t="n"/>
    </row>
    <row r="2" ht="54.75" customHeight="1" s="443">
      <c r="A2" s="294" t="n"/>
      <c r="B2" s="216" t="n"/>
      <c r="C2" s="295" t="inlineStr">
        <is>
          <t>KẾ HOẠCH QUẢN LÝ RỦI RO &amp; VẤN ĐỀ/ 
RISKS &amp; ISSUES MANAGEMENT PLAN</t>
        </is>
      </c>
      <c r="D2" s="444" t="n"/>
      <c r="E2" s="444" t="n"/>
      <c r="F2" s="444" t="n"/>
      <c r="G2" s="444" t="n"/>
      <c r="H2" s="444" t="n"/>
      <c r="I2" s="444" t="n"/>
      <c r="J2" s="42">
        <f>ROC!F2</f>
        <v/>
      </c>
      <c r="K2" s="444" t="n"/>
      <c r="L2" s="296" t="n"/>
      <c r="M2" s="296" t="n"/>
      <c r="N2" s="296" t="n"/>
      <c r="O2" s="296" t="n"/>
      <c r="P2" s="296" t="n"/>
      <c r="Q2" s="296" t="n"/>
      <c r="R2" s="296" t="n"/>
      <c r="S2" s="296" t="n"/>
      <c r="T2" s="296" t="n"/>
      <c r="U2" s="296" t="n"/>
      <c r="V2" s="296" t="n"/>
      <c r="W2" s="296" t="n"/>
      <c r="X2" s="296" t="n"/>
      <c r="Y2" s="296" t="n"/>
      <c r="Z2" s="296" t="n"/>
      <c r="AA2" s="296" t="n"/>
      <c r="AB2" s="296" t="n"/>
      <c r="AC2" s="296" t="n"/>
      <c r="AD2" s="296" t="n"/>
    </row>
    <row r="3" ht="15.75" customHeight="1" s="443">
      <c r="A3" s="297" t="n"/>
      <c r="B3" s="214" t="n"/>
      <c r="C3" s="214" t="n"/>
      <c r="D3" s="214" t="n"/>
      <c r="E3" s="214" t="n"/>
      <c r="F3" s="214" t="n"/>
      <c r="G3" s="214" t="n"/>
      <c r="H3" s="214" t="n"/>
      <c r="I3" s="214" t="n"/>
      <c r="J3" s="214" t="n"/>
      <c r="K3" s="215" t="n"/>
      <c r="L3" s="215" t="n"/>
      <c r="M3" s="215" t="n"/>
      <c r="N3" s="215" t="n"/>
      <c r="O3" s="215" t="n"/>
      <c r="P3" s="215" t="n"/>
      <c r="Q3" s="215" t="n"/>
      <c r="R3" s="215" t="n"/>
      <c r="S3" s="215" t="n"/>
      <c r="T3" s="215" t="n"/>
      <c r="U3" s="215" t="n"/>
      <c r="V3" s="215" t="n"/>
      <c r="W3" s="215" t="n"/>
      <c r="X3" s="215" t="n"/>
      <c r="Y3" s="215" t="n"/>
      <c r="Z3" s="215" t="n"/>
      <c r="AA3" s="215" t="n"/>
      <c r="AB3" s="215" t="n"/>
      <c r="AC3" s="215" t="n"/>
      <c r="AD3" s="215" t="n"/>
    </row>
    <row r="4" ht="18" customHeight="1" s="443">
      <c r="A4" s="462" t="inlineStr">
        <is>
          <t>Quản lý rủi ro/ Risks Management</t>
        </is>
      </c>
      <c r="L4" s="215" t="n"/>
      <c r="M4" s="215" t="n"/>
      <c r="N4" s="215" t="n"/>
      <c r="O4" s="215" t="n"/>
      <c r="P4" s="215" t="n"/>
      <c r="Q4" s="215" t="n"/>
      <c r="R4" s="215" t="n"/>
      <c r="S4" s="215" t="n"/>
      <c r="T4" s="215" t="n"/>
      <c r="U4" s="215" t="n"/>
      <c r="V4" s="215" t="n"/>
      <c r="W4" s="215" t="n"/>
      <c r="X4" s="215" t="n"/>
      <c r="Y4" s="215" t="n"/>
      <c r="Z4" s="215" t="n"/>
      <c r="AA4" s="215" t="n"/>
      <c r="AB4" s="215" t="n"/>
      <c r="AC4" s="215" t="n"/>
      <c r="AD4" s="75" t="n"/>
    </row>
    <row r="5" ht="15.75" customHeight="1" s="443">
      <c r="A5" s="215" t="n"/>
      <c r="B5" s="75" t="n"/>
      <c r="C5" s="75" t="n"/>
      <c r="D5" s="75" t="n"/>
      <c r="E5" s="75" t="n"/>
      <c r="F5" s="75" t="n"/>
      <c r="G5" s="75" t="n"/>
      <c r="H5" s="75" t="n"/>
      <c r="I5" s="75" t="n"/>
      <c r="J5" s="75" t="n"/>
      <c r="K5" s="75" t="n"/>
      <c r="L5" s="75" t="n"/>
      <c r="M5" s="75" t="n"/>
      <c r="N5" s="75" t="n"/>
      <c r="O5" s="75" t="n"/>
      <c r="P5" s="75" t="n"/>
      <c r="Q5" s="75" t="n"/>
      <c r="R5" s="75" t="n"/>
      <c r="S5" s="75" t="n"/>
      <c r="T5" s="75" t="n"/>
      <c r="U5" s="75" t="n"/>
      <c r="V5" s="75" t="n"/>
      <c r="W5" s="75" t="n"/>
      <c r="X5" s="75" t="n"/>
      <c r="Y5" s="75" t="n"/>
      <c r="Z5" s="75" t="n"/>
      <c r="AA5" s="75" t="n"/>
      <c r="AB5" s="75" t="n"/>
      <c r="AC5" s="75" t="n"/>
      <c r="AD5" s="75" t="n"/>
    </row>
    <row r="6" ht="15.75" customHeight="1" s="443">
      <c r="A6" s="299" t="inlineStr">
        <is>
          <t>#</t>
        </is>
      </c>
      <c r="B6" s="299" t="inlineStr">
        <is>
          <t>Mức độ / Level</t>
        </is>
      </c>
      <c r="C6" s="299" t="inlineStr">
        <is>
          <t>Giai đoạn / Stage</t>
        </is>
      </c>
      <c r="D6" s="299" t="inlineStr">
        <is>
          <t>Mô tả rủi ro / Risk Description</t>
        </is>
      </c>
      <c r="E6" s="447" t="n"/>
      <c r="F6" s="299" t="inlineStr">
        <is>
          <t>Hành động / Action</t>
        </is>
      </c>
      <c r="G6" s="447" t="n"/>
      <c r="H6" s="301" t="inlineStr">
        <is>
          <t>Phân công cho / Assigned to</t>
        </is>
      </c>
      <c r="I6" s="299" t="inlineStr">
        <is>
          <t>Phân loại / Category</t>
        </is>
      </c>
      <c r="J6" s="299" t="inlineStr">
        <is>
          <t>Trạng thái / Status</t>
        </is>
      </c>
      <c r="K6" s="299" t="inlineStr">
        <is>
          <t>Ghi chú / Note</t>
        </is>
      </c>
      <c r="L6" s="57" t="n"/>
      <c r="M6" s="57" t="n"/>
      <c r="N6" s="57" t="n"/>
      <c r="O6" s="57" t="n"/>
      <c r="P6" s="57" t="n"/>
      <c r="Q6" s="57" t="n"/>
      <c r="R6" s="57" t="n"/>
      <c r="S6" s="57" t="n"/>
      <c r="T6" s="57" t="n"/>
      <c r="U6" s="57" t="n"/>
      <c r="V6" s="57" t="n"/>
      <c r="W6" s="57" t="n"/>
      <c r="X6" s="57" t="n"/>
      <c r="Y6" s="57" t="n"/>
      <c r="Z6" s="57" t="n"/>
      <c r="AA6" s="57" t="n"/>
      <c r="AB6" s="57" t="n"/>
      <c r="AC6" s="57" t="n"/>
      <c r="AD6" s="57" t="n"/>
    </row>
    <row r="7">
      <c r="A7" s="308" t="n">
        <v>1</v>
      </c>
      <c r="B7" s="315" t="inlineStr">
        <is>
          <t>High</t>
        </is>
      </c>
      <c r="C7" s="307" t="inlineStr">
        <is>
          <t>MVP</t>
        </is>
      </c>
      <c r="D7" s="307" t="inlineStr">
        <is>
          <t xml:space="preserve">Bảo mật thông tin dự án, các tài liệu chia sẽ, site testing hệ thống. </t>
        </is>
      </c>
      <c r="E7" s="447" t="n"/>
      <c r="F7" s="307" t="inlineStr">
        <is>
          <t>- Thực hiện ký bảo mật thông tin với các members dự án
- Thực hiện giới hạn phân quyền chia sẻ tài liệu chỉ cho những member liên quan dự án
- Thực hiện bảo mật các site testing và demo chỉ cho phép truy cập trong mạng nội bộ.</t>
        </is>
      </c>
      <c r="G7" s="447" t="n"/>
      <c r="H7" s="306" t="inlineStr">
        <is>
          <t>Bùi Phúc Minh Tâm</t>
        </is>
      </c>
      <c r="I7" s="306" t="inlineStr">
        <is>
          <t>Resource</t>
        </is>
      </c>
      <c r="J7" s="306" t="inlineStr">
        <is>
          <t>In-Progress</t>
        </is>
      </c>
      <c r="K7" s="307" t="n"/>
      <c r="L7" s="57" t="n"/>
      <c r="M7" s="57" t="n"/>
      <c r="N7" s="57" t="n"/>
      <c r="O7" s="57" t="n"/>
      <c r="P7" s="57" t="n"/>
      <c r="Q7" s="57" t="n"/>
      <c r="R7" s="57" t="n"/>
      <c r="S7" s="57" t="n"/>
      <c r="T7" s="57" t="n"/>
      <c r="U7" s="57" t="n"/>
      <c r="V7" s="57" t="n"/>
      <c r="W7" s="57" t="n"/>
      <c r="X7" s="57" t="n"/>
      <c r="Y7" s="57" t="n"/>
      <c r="Z7" s="57" t="n"/>
      <c r="AA7" s="57" t="n"/>
      <c r="AB7" s="57" t="n"/>
      <c r="AC7" s="57" t="n"/>
      <c r="AD7" s="57" t="n"/>
    </row>
    <row r="8" ht="46.5" customHeight="1" s="443">
      <c r="A8" s="308" t="n">
        <v>2</v>
      </c>
      <c r="B8" s="315" t="inlineStr">
        <is>
          <t>High</t>
        </is>
      </c>
      <c r="C8" s="307" t="inlineStr">
        <is>
          <t>MVP</t>
        </is>
      </c>
      <c r="D8" s="307" t="inlineStr">
        <is>
          <t>Một số vị trí inhouse đang khá mỏng, gồm:
- Unity, Art/2D/3D, Technical Artist</t>
        </is>
      </c>
      <c r="E8" s="447" t="n"/>
      <c r="F8" s="307" t="inlineStr">
        <is>
          <t>Thực hiện book oursource và kết hợp với tuyển dụng dần cho những vị trí Key</t>
        </is>
      </c>
      <c r="G8" s="447" t="n"/>
      <c r="H8" s="306" t="inlineStr">
        <is>
          <t>Bùi Phúc Minh Tâm</t>
        </is>
      </c>
      <c r="I8" s="306" t="inlineStr">
        <is>
          <t>Resource</t>
        </is>
      </c>
      <c r="J8" s="306" t="inlineStr">
        <is>
          <t>In-Progress</t>
        </is>
      </c>
      <c r="K8" s="307" t="n"/>
      <c r="L8" s="57" t="n"/>
      <c r="M8" s="57" t="n"/>
      <c r="N8" s="57" t="n"/>
      <c r="O8" s="57" t="n"/>
      <c r="P8" s="57" t="n"/>
      <c r="Q8" s="57" t="n"/>
      <c r="R8" s="57" t="n"/>
      <c r="S8" s="57" t="n"/>
      <c r="T8" s="57" t="n"/>
      <c r="U8" s="57" t="n"/>
      <c r="V8" s="57" t="n"/>
      <c r="W8" s="57" t="n"/>
      <c r="X8" s="57" t="n"/>
      <c r="Y8" s="57" t="n"/>
      <c r="Z8" s="57" t="n"/>
      <c r="AA8" s="57" t="n"/>
      <c r="AB8" s="57" t="n"/>
      <c r="AC8" s="57" t="n"/>
      <c r="AD8" s="57" t="n"/>
    </row>
    <row r="9">
      <c r="A9" s="308" t="n">
        <v>3</v>
      </c>
      <c r="B9" s="315" t="inlineStr">
        <is>
          <t>High</t>
        </is>
      </c>
      <c r="C9" s="307" t="inlineStr">
        <is>
          <t>MVP</t>
        </is>
      </c>
      <c r="D9" s="307" t="inlineStr">
        <is>
          <t>Tính kế thừa:
- Chỉ giữ lại concept và ý tưởng từ giai đoạn trước.</t>
        </is>
      </c>
      <c r="E9" s="447" t="n"/>
      <c r="F9" s="307" t="inlineStr">
        <is>
          <t>Thực hiện đánh giá và làm mới hoàn toàn:
- Viết lại từ nội dung Game Design.
- Tái cấu trúc base code Unity và viết mới.
- Xây dựng lại CMS mới hoàn toàn</t>
        </is>
      </c>
      <c r="G9" s="447" t="n"/>
      <c r="H9" s="306" t="inlineStr">
        <is>
          <t>Bùi Phúc Minh Tâm</t>
        </is>
      </c>
      <c r="I9" s="306" t="inlineStr">
        <is>
          <t>Resource</t>
        </is>
      </c>
      <c r="J9" s="306" t="inlineStr">
        <is>
          <t>In-Progress</t>
        </is>
      </c>
      <c r="K9" s="307" t="inlineStr">
        <is>
          <t>Dựa trên kế hoạch thực hiện của dự án</t>
        </is>
      </c>
      <c r="L9" s="57" t="n"/>
      <c r="M9" s="57" t="n"/>
      <c r="N9" s="57" t="n"/>
      <c r="O9" s="57" t="n"/>
      <c r="P9" s="57" t="n"/>
      <c r="Q9" s="57" t="n"/>
      <c r="R9" s="57" t="n"/>
      <c r="S9" s="57" t="n"/>
      <c r="T9" s="57" t="n"/>
      <c r="U9" s="57" t="n"/>
      <c r="V9" s="57" t="n"/>
      <c r="W9" s="57" t="n"/>
      <c r="X9" s="57" t="n"/>
      <c r="Y9" s="57" t="n"/>
      <c r="Z9" s="57" t="n"/>
      <c r="AA9" s="57" t="n"/>
      <c r="AB9" s="57" t="n"/>
      <c r="AC9" s="57" t="n"/>
      <c r="AD9" s="57" t="n"/>
    </row>
    <row r="10" ht="15.75" customHeight="1" s="443">
      <c r="A10" s="309" t="n"/>
      <c r="B10" s="309" t="n"/>
      <c r="C10" s="309" t="n"/>
      <c r="D10" s="309" t="n"/>
      <c r="E10" s="309" t="n"/>
      <c r="F10" s="309" t="n"/>
      <c r="G10" s="309" t="n"/>
      <c r="H10" s="309" t="n"/>
      <c r="I10" s="309" t="n"/>
      <c r="J10" s="309" t="n"/>
      <c r="K10" s="310" t="n"/>
      <c r="L10" s="311" t="n"/>
      <c r="M10" s="311" t="n"/>
      <c r="N10" s="311" t="n"/>
      <c r="O10" s="311" t="n"/>
      <c r="P10" s="311" t="n"/>
      <c r="Q10" s="311" t="n"/>
      <c r="R10" s="311" t="n"/>
      <c r="S10" s="311" t="n"/>
      <c r="T10" s="311" t="n"/>
      <c r="U10" s="311" t="n"/>
      <c r="V10" s="311" t="n"/>
      <c r="W10" s="311" t="n"/>
      <c r="X10" s="311" t="n"/>
      <c r="Y10" s="311" t="n"/>
      <c r="Z10" s="311" t="n"/>
      <c r="AA10" s="311" t="n"/>
      <c r="AB10" s="311" t="n"/>
      <c r="AC10" s="311" t="n"/>
      <c r="AD10" s="311" t="n"/>
    </row>
    <row r="11" ht="18" customHeight="1" s="443">
      <c r="A11" s="462" t="inlineStr">
        <is>
          <t>Quản lý vấn đề / Issues Management</t>
        </is>
      </c>
      <c r="L11" s="215" t="n"/>
      <c r="M11" s="215" t="n"/>
      <c r="N11" s="215" t="n"/>
      <c r="O11" s="215" t="n"/>
      <c r="P11" s="215" t="n"/>
      <c r="Q11" s="215" t="n"/>
      <c r="R11" s="215" t="n"/>
      <c r="S11" s="215" t="n"/>
      <c r="T11" s="215" t="n"/>
      <c r="U11" s="215" t="n"/>
      <c r="V11" s="215" t="n"/>
      <c r="W11" s="215" t="n"/>
      <c r="X11" s="215" t="n"/>
      <c r="Y11" s="215" t="n"/>
      <c r="Z11" s="215" t="n"/>
      <c r="AA11" s="215" t="n"/>
      <c r="AB11" s="215" t="n"/>
      <c r="AC11" s="215" t="n"/>
      <c r="AD11" s="75" t="n"/>
    </row>
    <row r="12" ht="15.75" customHeight="1" s="443">
      <c r="A12" s="215" t="n"/>
      <c r="B12" s="75" t="n"/>
      <c r="C12" s="75" t="n"/>
      <c r="D12" s="75" t="n"/>
      <c r="E12" s="75" t="n"/>
      <c r="F12" s="75" t="n"/>
      <c r="G12" s="75" t="n"/>
      <c r="H12" s="75" t="n"/>
      <c r="I12" s="75" t="n"/>
      <c r="J12" s="75" t="n"/>
      <c r="K12" s="75" t="n"/>
      <c r="L12" s="75" t="n"/>
      <c r="M12" s="75" t="n"/>
      <c r="N12" s="75" t="n"/>
      <c r="O12" s="75" t="n"/>
      <c r="P12" s="75" t="n"/>
      <c r="Q12" s="75" t="n"/>
      <c r="R12" s="75" t="n"/>
      <c r="S12" s="75" t="n"/>
      <c r="T12" s="75" t="n"/>
      <c r="U12" s="75" t="n"/>
      <c r="V12" s="75" t="n"/>
      <c r="W12" s="75" t="n"/>
      <c r="X12" s="75" t="n"/>
      <c r="Y12" s="75" t="n"/>
      <c r="Z12" s="75" t="n"/>
      <c r="AA12" s="75" t="n"/>
      <c r="AB12" s="75" t="n"/>
      <c r="AC12" s="75" t="n"/>
      <c r="AD12" s="75" t="n"/>
    </row>
    <row r="13" ht="15.75" customHeight="1" s="443">
      <c r="A13" s="312" t="inlineStr">
        <is>
          <t>#</t>
        </is>
      </c>
      <c r="B13" s="299" t="inlineStr">
        <is>
          <t>Mức độ / Level</t>
        </is>
      </c>
      <c r="C13" s="313" t="inlineStr">
        <is>
          <t>Ngày / Date</t>
        </is>
      </c>
      <c r="D13" s="299" t="inlineStr">
        <is>
          <t>Mô tả vấn đề / Issue Description</t>
        </is>
      </c>
      <c r="E13" s="447" t="n"/>
      <c r="F13" s="299" t="inlineStr">
        <is>
          <t>Hành động / Action</t>
        </is>
      </c>
      <c r="G13" s="447" t="n"/>
      <c r="H13" s="301" t="inlineStr">
        <is>
          <t>Phân công cho / Assigned to</t>
        </is>
      </c>
      <c r="I13" s="299" t="inlineStr">
        <is>
          <t>Hạn cuối / Deadline</t>
        </is>
      </c>
      <c r="J13" s="299" t="inlineStr">
        <is>
          <t>Trạng thái / Status</t>
        </is>
      </c>
      <c r="K13" s="299" t="inlineStr">
        <is>
          <t>Ghi chú / Note</t>
        </is>
      </c>
      <c r="L13" s="57" t="n"/>
      <c r="M13" s="57" t="n"/>
      <c r="N13" s="57" t="n"/>
      <c r="O13" s="57" t="n"/>
      <c r="P13" s="57" t="n"/>
      <c r="Q13" s="57" t="n"/>
      <c r="R13" s="57" t="n"/>
      <c r="S13" s="57" t="n"/>
      <c r="T13" s="57" t="n"/>
      <c r="U13" s="57" t="n"/>
      <c r="V13" s="57" t="n"/>
      <c r="W13" s="57" t="n"/>
      <c r="X13" s="57" t="n"/>
      <c r="Y13" s="57" t="n"/>
      <c r="Z13" s="57" t="n"/>
      <c r="AA13" s="57" t="n"/>
      <c r="AB13" s="57" t="n"/>
      <c r="AC13" s="57" t="n"/>
      <c r="AD13" s="57" t="n"/>
    </row>
    <row r="14" ht="15.75" customHeight="1" s="443">
      <c r="A14" s="314" t="n">
        <v>1</v>
      </c>
      <c r="B14" s="315" t="inlineStr">
        <is>
          <t>Medium</t>
        </is>
      </c>
      <c r="C14" s="316" t="inlineStr">
        <is>
          <t>N/A</t>
        </is>
      </c>
      <c r="D14" s="468" t="n"/>
      <c r="E14" s="447" t="n"/>
      <c r="F14" s="468" t="n"/>
      <c r="G14" s="447" t="n"/>
      <c r="H14" s="318" t="n"/>
      <c r="I14" s="306" t="inlineStr">
        <is>
          <t>N/A</t>
        </is>
      </c>
      <c r="J14" s="318" t="n"/>
      <c r="K14" s="318" t="inlineStr">
        <is>
          <t>N/A</t>
        </is>
      </c>
      <c r="L14" s="57" t="n"/>
      <c r="M14" s="57" t="n"/>
      <c r="N14" s="57" t="n"/>
      <c r="O14" s="57" t="n"/>
      <c r="P14" s="57" t="n"/>
      <c r="Q14" s="57" t="n"/>
      <c r="R14" s="57" t="n"/>
      <c r="S14" s="57" t="n"/>
      <c r="T14" s="57" t="n"/>
      <c r="U14" s="57" t="n"/>
      <c r="V14" s="57" t="n"/>
      <c r="W14" s="57" t="n"/>
      <c r="X14" s="57" t="n"/>
      <c r="Y14" s="57" t="n"/>
      <c r="Z14" s="57" t="n"/>
      <c r="AA14" s="57" t="n"/>
      <c r="AB14" s="57" t="n"/>
      <c r="AC14" s="57" t="n"/>
      <c r="AD14" s="57" t="n"/>
    </row>
    <row r="15" ht="15.75" customHeight="1" s="443">
      <c r="A15" s="319" t="n"/>
      <c r="B15" s="319" t="n"/>
      <c r="C15" s="319" t="n"/>
      <c r="D15" s="320" t="n"/>
      <c r="E15" s="320" t="n"/>
      <c r="F15" s="319" t="n"/>
      <c r="G15" s="319" t="n"/>
      <c r="H15" s="319" t="n"/>
      <c r="I15" s="319" t="n"/>
      <c r="J15" s="319" t="n"/>
      <c r="K15" s="311" t="n"/>
      <c r="L15" s="311" t="n"/>
      <c r="M15" s="311" t="n"/>
      <c r="N15" s="311" t="n"/>
      <c r="O15" s="311" t="n"/>
      <c r="P15" s="311" t="n"/>
      <c r="Q15" s="311" t="n"/>
      <c r="R15" s="311" t="n"/>
      <c r="S15" s="311" t="n"/>
      <c r="T15" s="311" t="n"/>
      <c r="U15" s="311" t="n"/>
      <c r="V15" s="311" t="n"/>
      <c r="W15" s="311" t="n"/>
      <c r="X15" s="311" t="n"/>
      <c r="Y15" s="311" t="n"/>
      <c r="Z15" s="311" t="n"/>
      <c r="AA15" s="311" t="n"/>
      <c r="AB15" s="311" t="n"/>
      <c r="AC15" s="311" t="n"/>
      <c r="AD15" s="311" t="n"/>
    </row>
    <row r="16" ht="18" customHeight="1" s="443">
      <c r="A16" s="462" t="inlineStr">
        <is>
          <t>Khác / Others</t>
        </is>
      </c>
      <c r="L16" s="215" t="n"/>
      <c r="M16" s="215" t="n"/>
      <c r="N16" s="215" t="n"/>
      <c r="O16" s="215" t="n"/>
      <c r="P16" s="215" t="n"/>
      <c r="Q16" s="215" t="n"/>
      <c r="R16" s="215" t="n"/>
      <c r="S16" s="215" t="n"/>
      <c r="T16" s="215" t="n"/>
      <c r="U16" s="215" t="n"/>
      <c r="V16" s="215" t="n"/>
      <c r="W16" s="215" t="n"/>
      <c r="X16" s="215" t="n"/>
      <c r="Y16" s="215" t="n"/>
      <c r="Z16" s="215" t="n"/>
      <c r="AA16" s="215" t="n"/>
      <c r="AB16" s="215" t="n"/>
      <c r="AC16" s="215" t="n"/>
      <c r="AD16" s="75" t="n"/>
    </row>
    <row r="17" ht="15.75" customHeight="1" s="443">
      <c r="A17" s="215" t="n"/>
      <c r="B17" s="75" t="n"/>
      <c r="C17" s="75" t="n"/>
      <c r="D17" s="75" t="n"/>
      <c r="E17" s="75" t="n"/>
      <c r="F17" s="75" t="n"/>
      <c r="G17" s="75" t="n"/>
      <c r="H17" s="75" t="n"/>
      <c r="I17" s="75" t="n"/>
      <c r="J17" s="75" t="n"/>
      <c r="K17" s="75" t="n"/>
      <c r="L17" s="75" t="n"/>
      <c r="M17" s="75" t="n"/>
      <c r="N17" s="75" t="n"/>
      <c r="O17" s="75" t="n"/>
      <c r="P17" s="75" t="n"/>
      <c r="Q17" s="75" t="n"/>
      <c r="R17" s="75" t="n"/>
      <c r="S17" s="75" t="n"/>
      <c r="T17" s="75" t="n"/>
      <c r="U17" s="75" t="n"/>
      <c r="V17" s="75" t="n"/>
      <c r="W17" s="75" t="n"/>
      <c r="X17" s="75" t="n"/>
      <c r="Y17" s="75" t="n"/>
      <c r="Z17" s="75" t="n"/>
      <c r="AA17" s="75" t="n"/>
      <c r="AB17" s="75" t="n"/>
      <c r="AC17" s="75" t="n"/>
      <c r="AD17" s="75" t="n"/>
    </row>
    <row r="18" ht="60.75" customHeight="1" s="443">
      <c r="A18" s="411" t="inlineStr">
        <is>
          <t>Vui lòng lưu ý bất kỳ vấn đề nào khác mà bạn muốn báo cáo ở đây / Please note any other matters that you want to report here.</t>
        </is>
      </c>
      <c r="B18" s="446" t="n"/>
      <c r="C18" s="446" t="n"/>
      <c r="D18" s="446" t="n"/>
      <c r="E18" s="446" t="n"/>
      <c r="F18" s="446" t="n"/>
      <c r="G18" s="446" t="n"/>
      <c r="H18" s="446" t="n"/>
      <c r="I18" s="446" t="n"/>
      <c r="J18" s="446" t="n"/>
      <c r="K18" s="447" t="n"/>
      <c r="L18" s="57" t="n"/>
      <c r="M18" s="57" t="n"/>
      <c r="N18" s="57" t="n"/>
      <c r="O18" s="57" t="n"/>
      <c r="P18" s="57" t="n"/>
      <c r="Q18" s="57" t="n"/>
      <c r="R18" s="57" t="n"/>
      <c r="S18" s="57" t="n"/>
      <c r="T18" s="57" t="n"/>
      <c r="U18" s="57" t="n"/>
      <c r="V18" s="57" t="n"/>
      <c r="W18" s="57" t="n"/>
      <c r="X18" s="57" t="n"/>
      <c r="Y18" s="57" t="n"/>
      <c r="Z18" s="57" t="n"/>
      <c r="AA18" s="57" t="n"/>
      <c r="AB18" s="57" t="n"/>
      <c r="AC18" s="57" t="n"/>
      <c r="AD18" s="57" t="n"/>
    </row>
    <row r="19" ht="15.75" customHeight="1" s="443">
      <c r="A19" s="215" t="n"/>
      <c r="B19" s="75" t="n"/>
      <c r="C19" s="75" t="n"/>
      <c r="D19" s="75" t="n"/>
      <c r="E19" s="75" t="n"/>
      <c r="F19" s="75" t="n"/>
      <c r="G19" s="75" t="n"/>
      <c r="H19" s="75" t="n"/>
      <c r="I19" s="75" t="n"/>
      <c r="J19" s="75" t="n"/>
      <c r="K19" s="75" t="n"/>
      <c r="L19" s="75" t="n"/>
      <c r="M19" s="75" t="n"/>
      <c r="N19" s="75" t="n"/>
      <c r="O19" s="75" t="n"/>
      <c r="P19" s="75" t="n"/>
      <c r="Q19" s="75" t="n"/>
      <c r="R19" s="75" t="n"/>
      <c r="S19" s="75" t="n"/>
      <c r="T19" s="75" t="n"/>
      <c r="U19" s="75" t="n"/>
      <c r="V19" s="75" t="n"/>
      <c r="W19" s="75" t="n"/>
      <c r="X19" s="75" t="n"/>
      <c r="Y19" s="75" t="n"/>
      <c r="Z19" s="75" t="n"/>
      <c r="AA19" s="75" t="n"/>
      <c r="AB19" s="75" t="n"/>
      <c r="AC19" s="75" t="n"/>
      <c r="AD19" s="75" t="n"/>
    </row>
    <row r="20" ht="15.75" customHeight="1" s="443">
      <c r="A20" s="215" t="n"/>
      <c r="B20" s="75" t="n"/>
      <c r="C20" s="75" t="n"/>
      <c r="D20" s="75" t="n"/>
      <c r="E20" s="75" t="n"/>
      <c r="F20" s="75" t="n"/>
      <c r="G20" s="75" t="n"/>
      <c r="H20" s="75" t="n"/>
      <c r="I20" s="75" t="n"/>
      <c r="J20" s="75" t="n"/>
      <c r="K20" s="75" t="n"/>
      <c r="L20" s="75" t="n"/>
      <c r="M20" s="75" t="n"/>
      <c r="N20" s="75" t="n"/>
      <c r="O20" s="75" t="n"/>
      <c r="P20" s="75" t="n"/>
      <c r="Q20" s="75" t="n"/>
      <c r="R20" s="75" t="n"/>
      <c r="S20" s="75" t="n"/>
      <c r="T20" s="75" t="n"/>
      <c r="U20" s="75" t="n"/>
      <c r="V20" s="75" t="n"/>
      <c r="W20" s="75" t="n"/>
      <c r="X20" s="75" t="n"/>
      <c r="Y20" s="75" t="n"/>
      <c r="Z20" s="75" t="n"/>
      <c r="AA20" s="75" t="n"/>
      <c r="AB20" s="75" t="n"/>
      <c r="AC20" s="75" t="n"/>
      <c r="AD20" s="75" t="n"/>
    </row>
    <row r="21" ht="15.75" customHeight="1" s="443">
      <c r="A21" s="215" t="n"/>
      <c r="B21" s="75" t="n"/>
      <c r="C21" s="75" t="n"/>
      <c r="D21" s="75" t="n"/>
      <c r="E21" s="75" t="n"/>
      <c r="F21" s="75" t="n"/>
      <c r="G21" s="75" t="n"/>
      <c r="H21" s="75" t="n"/>
      <c r="I21" s="75" t="n"/>
      <c r="J21" s="75" t="n"/>
      <c r="K21" s="75" t="n"/>
      <c r="L21" s="75" t="n"/>
      <c r="M21" s="75" t="n"/>
      <c r="N21" s="75" t="n"/>
      <c r="O21" s="75" t="n"/>
      <c r="P21" s="75" t="n"/>
      <c r="Q21" s="75" t="n"/>
      <c r="R21" s="75" t="n"/>
      <c r="S21" s="75" t="n"/>
      <c r="T21" s="75" t="n"/>
      <c r="U21" s="75" t="n"/>
      <c r="V21" s="75" t="n"/>
      <c r="W21" s="75" t="n"/>
      <c r="X21" s="75" t="n"/>
      <c r="Y21" s="75" t="n"/>
      <c r="Z21" s="75" t="n"/>
      <c r="AA21" s="75" t="n"/>
      <c r="AB21" s="75" t="n"/>
      <c r="AC21" s="75" t="n"/>
      <c r="AD21" s="75" t="n"/>
    </row>
    <row r="22" ht="15.75" customHeight="1" s="443">
      <c r="A22" s="215" t="n"/>
      <c r="B22" s="75" t="n"/>
      <c r="C22" s="75" t="n"/>
      <c r="D22" s="75" t="n"/>
      <c r="E22" s="75" t="n"/>
      <c r="F22" s="75" t="n"/>
      <c r="G22" s="75" t="n"/>
      <c r="H22" s="75" t="n"/>
      <c r="I22" s="75" t="n"/>
      <c r="J22" s="75" t="n"/>
      <c r="K22" s="75" t="n"/>
      <c r="L22" s="75" t="n"/>
      <c r="M22" s="75" t="n"/>
      <c r="N22" s="75" t="n"/>
      <c r="O22" s="75" t="n"/>
      <c r="P22" s="75" t="n"/>
      <c r="Q22" s="75" t="n"/>
      <c r="R22" s="75" t="n"/>
      <c r="S22" s="75" t="n"/>
      <c r="T22" s="75" t="n"/>
      <c r="U22" s="75" t="n"/>
      <c r="V22" s="75" t="n"/>
      <c r="W22" s="75" t="n"/>
      <c r="X22" s="75" t="n"/>
      <c r="Y22" s="75" t="n"/>
      <c r="Z22" s="75" t="n"/>
      <c r="AA22" s="75" t="n"/>
      <c r="AB22" s="75" t="n"/>
      <c r="AC22" s="75" t="n"/>
      <c r="AD22" s="75" t="n"/>
    </row>
  </sheetData>
  <mergeCells count="18">
    <mergeCell ref="D8:E8"/>
    <mergeCell ref="D6:E6"/>
    <mergeCell ref="A18:K18"/>
    <mergeCell ref="A4:K4"/>
    <mergeCell ref="D7:E7"/>
    <mergeCell ref="J2:K2"/>
    <mergeCell ref="D13:E13"/>
    <mergeCell ref="A16:K16"/>
    <mergeCell ref="A11:K11"/>
    <mergeCell ref="D14:E14"/>
    <mergeCell ref="F6:G6"/>
    <mergeCell ref="F14:G14"/>
    <mergeCell ref="C2:I2"/>
    <mergeCell ref="F13:G13"/>
    <mergeCell ref="D9:E9"/>
    <mergeCell ref="F9:G9"/>
    <mergeCell ref="F7:G7"/>
    <mergeCell ref="F8:G8"/>
  </mergeCells>
  <conditionalFormatting sqref="B7:B9 B14">
    <cfRule type="containsText" priority="1" operator="containsText" dxfId="9" text="High">
      <formula>NOT(ISERROR(SEARCH(("High"),(B7))))</formula>
    </cfRule>
    <cfRule type="containsText" priority="2" operator="containsText" dxfId="10" text="Medium">
      <formula>NOT(ISERROR(SEARCH(("Medium"),(B7))))</formula>
    </cfRule>
    <cfRule type="containsText" priority="3" operator="containsText" dxfId="11" text="Low">
      <formula>NOT(ISERROR(SEARCH(("Low"),(B7))))</formula>
    </cfRule>
  </conditionalFormatting>
  <dataValidations count="3">
    <dataValidation sqref="I7:I9" showDropDown="0" showInputMessage="0" showErrorMessage="0" allowBlank="1" type="list">
      <formula1>"Timeline,Resource,Management,Cost,Quality"</formula1>
    </dataValidation>
    <dataValidation sqref="B7:B9 B14" showDropDown="0" showInputMessage="0" showErrorMessage="0" allowBlank="1" type="list">
      <formula1>"High,Medium,Low"</formula1>
    </dataValidation>
    <dataValidation sqref="J7:J9 J14" showDropDown="0" showInputMessage="0" showErrorMessage="0" allowBlank="1" type="list">
      <formula1>"Completed,In-Progress,Open"</formula1>
    </dataValidation>
  </dataValidations>
  <pageMargins left="0.7" right="0.7" top="0.75" bottom="0.75"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O78"/>
  <sheetViews>
    <sheetView showGridLines="0" workbookViewId="0">
      <selection activeCell="A1" sqref="A1"/>
    </sheetView>
  </sheetViews>
  <sheetFormatPr baseColWidth="8" defaultColWidth="12.63" defaultRowHeight="15" customHeight="1"/>
  <cols>
    <col width="4" customWidth="1" style="443" min="1" max="1"/>
    <col width="16.88" customWidth="1" style="443" min="2" max="2"/>
    <col width="16.63" customWidth="1" style="443" min="3" max="3"/>
    <col width="31.13" customWidth="1" style="443" min="4" max="4"/>
    <col width="20.75" customWidth="1" style="443" min="5" max="6"/>
    <col width="16.38" customWidth="1" style="443" min="7" max="7"/>
    <col width="20.38" customWidth="1" style="443" min="8" max="8"/>
    <col width="16.88" customWidth="1" style="443" min="9" max="10"/>
    <col width="29.88" customWidth="1" style="443" min="11" max="11"/>
    <col width="25.5" customWidth="1" style="443" min="12" max="12"/>
    <col hidden="1" width="12.63" customWidth="1" style="443" min="13" max="15"/>
  </cols>
  <sheetData>
    <row r="1" ht="12.75" customHeight="1" s="443">
      <c r="A1" s="214" t="n"/>
      <c r="B1" s="214" t="n"/>
      <c r="C1" s="214" t="n"/>
      <c r="D1" s="214" t="n"/>
      <c r="E1" s="214" t="n"/>
      <c r="F1" s="214" t="n"/>
      <c r="G1" s="214" t="n"/>
      <c r="H1" s="214" t="n"/>
      <c r="I1" s="214" t="n"/>
      <c r="J1" s="214" t="n"/>
      <c r="K1" s="322" t="n"/>
      <c r="L1" s="322" t="n"/>
      <c r="M1" s="322" t="n"/>
      <c r="N1" s="322" t="n"/>
      <c r="O1" s="322" t="n"/>
    </row>
    <row r="2" ht="59.25" customHeight="1" s="443">
      <c r="A2" s="323" t="n"/>
      <c r="B2" s="324" t="n"/>
      <c r="C2" s="295" t="inlineStr">
        <is>
          <t>KẾ HOẠCH QUẢN LÝ CẤU HÌNH/ 
CONFIGURATION MANAGEMENT PLAN</t>
        </is>
      </c>
      <c r="D2" s="444" t="n"/>
      <c r="E2" s="444" t="n"/>
      <c r="F2" s="444" t="n"/>
      <c r="G2" s="444" t="n"/>
      <c r="H2" s="444" t="n"/>
      <c r="I2" s="444" t="n"/>
      <c r="J2" s="42">
        <f>ROC!F2</f>
        <v/>
      </c>
      <c r="K2" s="444" t="n"/>
      <c r="L2" s="444" t="n"/>
      <c r="M2" s="325" t="n"/>
      <c r="N2" s="325" t="n"/>
      <c r="O2" s="325" t="n"/>
    </row>
    <row r="3" ht="12.75" customHeight="1" s="443">
      <c r="A3" s="297" t="n"/>
      <c r="B3" s="214" t="n"/>
      <c r="C3" s="214" t="n"/>
      <c r="D3" s="214" t="n"/>
      <c r="E3" s="214" t="n"/>
      <c r="F3" s="214" t="n"/>
      <c r="G3" s="214" t="n"/>
      <c r="H3" s="214" t="n"/>
      <c r="I3" s="214" t="n"/>
      <c r="J3" s="214" t="n"/>
      <c r="K3" s="322" t="n"/>
      <c r="L3" s="322" t="n"/>
      <c r="M3" s="322" t="n"/>
      <c r="N3" s="322" t="n"/>
      <c r="O3" s="322" t="n"/>
    </row>
    <row r="4">
      <c r="A4" s="469" t="inlineStr">
        <is>
          <t>1. Cơ sở hạ tầng dự án / Project Infrastructure</t>
        </is>
      </c>
      <c r="M4" s="322" t="n"/>
      <c r="N4" s="322" t="n"/>
      <c r="O4" s="322" t="n"/>
    </row>
    <row r="5" ht="12.75" customHeight="1" s="443">
      <c r="A5" s="327" t="inlineStr">
        <is>
          <t>Môi trường / Enviroment</t>
        </is>
      </c>
      <c r="K5" s="328" t="n"/>
      <c r="L5" s="328" t="n"/>
      <c r="M5" s="328" t="n"/>
      <c r="N5" s="328" t="n"/>
      <c r="O5" s="328" t="n"/>
    </row>
    <row r="6" ht="12.75" customHeight="1" s="443">
      <c r="A6" s="329" t="inlineStr">
        <is>
          <t>#</t>
        </is>
      </c>
      <c r="B6" s="329" t="inlineStr">
        <is>
          <t>Tên / Name</t>
        </is>
      </c>
      <c r="C6" s="470" t="inlineStr">
        <is>
          <t>Mô tả / Description</t>
        </is>
      </c>
      <c r="D6" s="446" t="n"/>
      <c r="E6" s="447" t="n"/>
      <c r="F6" s="471" t="inlineStr">
        <is>
          <t>Mục đích / Purpose</t>
        </is>
      </c>
      <c r="G6" s="472" t="n"/>
      <c r="H6" s="329" t="inlineStr">
        <is>
          <t>Sở hữu / Owner</t>
        </is>
      </c>
      <c r="I6" s="473" t="inlineStr">
        <is>
          <t>Link</t>
        </is>
      </c>
      <c r="J6" s="474" t="n"/>
      <c r="K6" s="328" t="n"/>
      <c r="L6" s="328" t="n"/>
      <c r="M6" s="328" t="n"/>
      <c r="N6" s="328" t="n"/>
      <c r="O6" s="328" t="n"/>
    </row>
    <row r="7" ht="12.75" customHeight="1" s="443">
      <c r="A7" s="335" t="n">
        <v>1</v>
      </c>
      <c r="B7" s="336" t="inlineStr">
        <is>
          <t>Dev</t>
        </is>
      </c>
      <c r="C7" s="475" t="inlineStr">
        <is>
          <t>Môi trường test local</t>
        </is>
      </c>
      <c r="D7" s="446" t="n"/>
      <c r="E7" s="447" t="n"/>
      <c r="F7" s="336" t="inlineStr">
        <is>
          <t>Test cục bộ</t>
        </is>
      </c>
      <c r="G7" s="447" t="n"/>
      <c r="H7" s="339" t="n"/>
      <c r="I7" s="339" t="n"/>
      <c r="J7" s="447" t="n"/>
      <c r="K7" s="328" t="n"/>
      <c r="L7" s="328" t="n"/>
      <c r="M7" s="328" t="n"/>
      <c r="N7" s="328" t="n"/>
      <c r="O7" s="328" t="n"/>
    </row>
    <row r="8" ht="12.75" customHeight="1" s="443">
      <c r="A8" s="335" t="n">
        <v>2</v>
      </c>
      <c r="B8" s="336" t="inlineStr">
        <is>
          <t>Test</t>
        </is>
      </c>
      <c r="C8" s="475" t="inlineStr">
        <is>
          <t>Môi trường test cloud</t>
        </is>
      </c>
      <c r="D8" s="446" t="n"/>
      <c r="E8" s="447" t="n"/>
      <c r="F8" s="475" t="inlineStr">
        <is>
          <t>Test nội bộ BO</t>
        </is>
      </c>
      <c r="G8" s="447" t="n"/>
      <c r="H8" s="339" t="n"/>
      <c r="I8" s="476" t="n"/>
      <c r="J8" s="447" t="n"/>
      <c r="K8" s="328" t="n"/>
      <c r="L8" s="328" t="n"/>
      <c r="M8" s="328" t="n"/>
      <c r="N8" s="356" t="n"/>
      <c r="O8" s="328" t="n"/>
    </row>
    <row r="9" ht="12.75" customHeight="1" s="443">
      <c r="A9" s="335" t="n">
        <v>3</v>
      </c>
      <c r="B9" s="343" t="inlineStr">
        <is>
          <t>Staging</t>
        </is>
      </c>
      <c r="C9" s="475" t="inlineStr">
        <is>
          <t>Môi trường chạy thử nghiệm</t>
        </is>
      </c>
      <c r="D9" s="446" t="n"/>
      <c r="E9" s="447" t="n"/>
      <c r="F9" s="336" t="inlineStr">
        <is>
          <t>Client UAT</t>
        </is>
      </c>
      <c r="G9" s="447" t="n"/>
      <c r="H9" s="335" t="n"/>
      <c r="I9" s="476" t="n"/>
      <c r="J9" s="447" t="n"/>
      <c r="K9" s="328" t="n"/>
      <c r="L9" s="328" t="n"/>
      <c r="M9" s="328" t="n"/>
      <c r="N9" s="344" t="n"/>
      <c r="O9" s="344" t="n"/>
    </row>
    <row r="10" ht="12.75" customHeight="1" s="443">
      <c r="A10" s="335" t="n">
        <v>4</v>
      </c>
      <c r="B10" s="343" t="inlineStr">
        <is>
          <t>Product</t>
        </is>
      </c>
      <c r="C10" s="475" t="inlineStr">
        <is>
          <t>Môi trường chạy chính thức</t>
        </is>
      </c>
      <c r="D10" s="446" t="n"/>
      <c r="E10" s="447" t="n"/>
      <c r="F10" s="336" t="inlineStr">
        <is>
          <t>Official release</t>
        </is>
      </c>
      <c r="G10" s="447" t="n"/>
      <c r="H10" s="335" t="n"/>
      <c r="I10" s="476" t="n"/>
      <c r="J10" s="447" t="n"/>
      <c r="K10" s="328" t="n"/>
      <c r="L10" s="328" t="n"/>
      <c r="M10" s="328" t="n"/>
      <c r="N10" s="344" t="n"/>
      <c r="O10" s="344" t="n"/>
    </row>
    <row r="11" ht="12.75" customHeight="1" s="443">
      <c r="A11" s="345" t="n"/>
      <c r="B11" s="345" t="n"/>
      <c r="C11" s="345" t="n"/>
      <c r="D11" s="345" t="n"/>
      <c r="E11" s="345" t="n"/>
      <c r="F11" s="345" t="n"/>
      <c r="G11" s="345" t="n"/>
      <c r="H11" s="345" t="n"/>
      <c r="I11" s="345" t="n"/>
      <c r="J11" s="345" t="n"/>
      <c r="K11" s="328" t="n"/>
      <c r="L11" s="328" t="n"/>
      <c r="M11" s="328" t="n"/>
      <c r="N11" s="356" t="n"/>
      <c r="O11" s="356" t="n"/>
    </row>
    <row r="12" ht="12.75" customHeight="1" s="443">
      <c r="A12" s="345" t="inlineStr">
        <is>
          <t>Phần mềm / Software</t>
        </is>
      </c>
      <c r="K12" s="328" t="n"/>
      <c r="L12" s="328" t="n"/>
      <c r="M12" s="328" t="n"/>
      <c r="N12" s="356" t="n"/>
      <c r="O12" s="356" t="n"/>
    </row>
    <row r="13" ht="12.75" customHeight="1" s="443">
      <c r="A13" s="346" t="inlineStr">
        <is>
          <t>#</t>
        </is>
      </c>
      <c r="B13" s="346" t="inlineStr">
        <is>
          <t>Tên / Name</t>
        </is>
      </c>
      <c r="C13" s="477" t="inlineStr">
        <is>
          <t>Mô tả / Description</t>
        </is>
      </c>
      <c r="D13" s="446" t="n"/>
      <c r="E13" s="447" t="n"/>
      <c r="F13" s="478" t="inlineStr">
        <is>
          <t>Mục đích / Purpose</t>
        </is>
      </c>
      <c r="G13" s="472" t="n"/>
      <c r="H13" s="350" t="inlineStr">
        <is>
          <t>Liên kết bởi / Liencsed by</t>
        </is>
      </c>
      <c r="I13" s="350" t="inlineStr">
        <is>
          <t>Link</t>
        </is>
      </c>
      <c r="J13" s="474" t="n"/>
      <c r="K13" s="328" t="n"/>
      <c r="L13" s="328" t="n"/>
      <c r="M13" s="328" t="n"/>
      <c r="N13" s="356" t="n"/>
      <c r="O13" s="356" t="n"/>
    </row>
    <row r="14" ht="12.75" customHeight="1" s="443">
      <c r="A14" s="355" t="inlineStr">
        <is>
          <t>Phát triển / For Development</t>
        </is>
      </c>
      <c r="B14" s="446" t="n"/>
      <c r="C14" s="446" t="n"/>
      <c r="D14" s="446" t="n"/>
      <c r="E14" s="446" t="n"/>
      <c r="F14" s="446" t="n"/>
      <c r="G14" s="446" t="n"/>
      <c r="H14" s="446" t="n"/>
      <c r="I14" s="446" t="n"/>
      <c r="J14" s="447" t="n"/>
      <c r="K14" s="328" t="n"/>
      <c r="L14" s="328" t="n"/>
      <c r="M14" s="328" t="n"/>
      <c r="N14" s="356" t="n"/>
      <c r="O14" s="356" t="n"/>
    </row>
    <row r="15" ht="12.75" customHeight="1" s="443">
      <c r="A15" s="335" t="n">
        <v>1</v>
      </c>
      <c r="B15" s="343" t="inlineStr">
        <is>
          <t>Unity</t>
        </is>
      </c>
      <c r="C15" s="479" t="inlineStr">
        <is>
          <t>Nền tảng phát triển game đa nền tảng</t>
        </is>
      </c>
      <c r="D15" s="446" t="n"/>
      <c r="E15" s="447" t="n"/>
      <c r="F15" s="475" t="inlineStr">
        <is>
          <t>Xây dựng game client cho dự án</t>
        </is>
      </c>
      <c r="G15" s="447" t="n"/>
      <c r="H15" s="355" t="n"/>
      <c r="I15" s="355" t="n"/>
      <c r="J15" s="447" t="n"/>
      <c r="K15" s="328" t="n"/>
      <c r="L15" s="328" t="n"/>
      <c r="M15" s="328" t="n"/>
      <c r="N15" s="356" t="n"/>
      <c r="O15" s="356" t="n"/>
    </row>
    <row r="16" ht="12.75" customHeight="1" s="443">
      <c r="A16" s="335" t="n">
        <v>2</v>
      </c>
      <c r="B16" s="343" t="inlineStr">
        <is>
          <t>Visual Studio</t>
        </is>
      </c>
      <c r="C16" s="479" t="inlineStr">
        <is>
          <t>Môi trường phát triển tích hợp (IDE)</t>
        </is>
      </c>
      <c r="D16" s="446" t="n"/>
      <c r="E16" s="447" t="n"/>
      <c r="F16" s="475" t="inlineStr">
        <is>
          <t>Lập trình logic cho game client và dựng môi trường local cho backend</t>
        </is>
      </c>
      <c r="G16" s="447" t="n"/>
      <c r="H16" s="355" t="n"/>
      <c r="I16" s="355" t="n"/>
      <c r="J16" s="447" t="n"/>
      <c r="K16" s="328" t="n"/>
      <c r="L16" s="328" t="n"/>
      <c r="M16" s="328" t="n"/>
      <c r="N16" s="356" t="n"/>
      <c r="O16" s="328" t="n"/>
    </row>
    <row r="17" ht="12.75" customHeight="1" s="443">
      <c r="A17" s="335" t="n">
        <v>3</v>
      </c>
      <c r="B17" s="343" t="inlineStr">
        <is>
          <t>Visual Studio Code</t>
        </is>
      </c>
      <c r="C17" s="479" t="inlineStr">
        <is>
          <t>Trình soạn thảo mã nguồn tích hợp (IDE text editor)</t>
        </is>
      </c>
      <c r="D17" s="446" t="n"/>
      <c r="E17" s="447" t="n"/>
      <c r="F17" s="475" t="inlineStr">
        <is>
          <t>Viết mã nguồn cho hệ thống CMS, backend</t>
        </is>
      </c>
      <c r="G17" s="447" t="n"/>
      <c r="H17" s="355" t="n"/>
      <c r="I17" s="355" t="n"/>
      <c r="J17" s="447" t="n"/>
      <c r="K17" s="328" t="n"/>
      <c r="L17" s="328" t="n"/>
      <c r="M17" s="328" t="n"/>
      <c r="N17" s="344" t="n"/>
      <c r="O17" s="344" t="n"/>
    </row>
    <row r="18" ht="12.75" customHeight="1" s="443">
      <c r="A18" s="335" t="n">
        <v>4</v>
      </c>
      <c r="B18" s="343" t="inlineStr">
        <is>
          <t>MySQL Workbench</t>
        </is>
      </c>
      <c r="C18" s="479" t="inlineStr">
        <is>
          <t>GUI quản lý cơ sở dữ liệu MySQL</t>
        </is>
      </c>
      <c r="D18" s="446" t="n"/>
      <c r="E18" s="447" t="n"/>
      <c r="F18" s="475" t="inlineStr">
        <is>
          <t>Thiết kế, quản lý và truy vấn cơ sở dữ liệu</t>
        </is>
      </c>
      <c r="G18" s="447" t="n"/>
      <c r="H18" s="355" t="n"/>
      <c r="I18" s="355" t="n"/>
      <c r="J18" s="447" t="n"/>
      <c r="K18" s="328" t="n"/>
      <c r="L18" s="328" t="n"/>
      <c r="M18" s="328" t="n"/>
      <c r="N18" s="356" t="n"/>
      <c r="O18" s="356" t="n"/>
    </row>
    <row r="19" ht="12.75" customHeight="1" s="443">
      <c r="A19" s="335" t="n">
        <v>5</v>
      </c>
      <c r="B19" s="343" t="inlineStr">
        <is>
          <t>Git</t>
        </is>
      </c>
      <c r="C19" s="479" t="inlineStr">
        <is>
          <t xml:space="preserve">Hệ thống quản lý phiên bản mã nguồn phân tán		</t>
        </is>
      </c>
      <c r="D19" s="446" t="n"/>
      <c r="E19" s="447" t="n"/>
      <c r="F19" s="475" t="inlineStr">
        <is>
          <t>Theo dõi lịch sử thay đổi mã, làm việc nhóm</t>
        </is>
      </c>
      <c r="G19" s="447" t="n"/>
      <c r="H19" s="355" t="n"/>
      <c r="I19" s="355" t="n"/>
      <c r="J19" s="447" t="n"/>
      <c r="K19" s="328" t="n"/>
      <c r="L19" s="328" t="n"/>
      <c r="M19" s="328" t="n"/>
      <c r="N19" s="356" t="n"/>
      <c r="O19" s="356" t="n"/>
    </row>
    <row r="20" ht="12.75" customHeight="1" s="443">
      <c r="A20" s="335" t="n">
        <v>6</v>
      </c>
      <c r="B20" s="343" t="inlineStr">
        <is>
          <t>Docker</t>
        </is>
      </c>
      <c r="C20" s="479" t="inlineStr">
        <is>
          <t>Nền tảng container hóa để triển khai ứng dụng một cách cô lập</t>
        </is>
      </c>
      <c r="D20" s="446" t="n"/>
      <c r="E20" s="447" t="n"/>
      <c r="F20" s="475" t="inlineStr">
        <is>
          <t>Đóng gói và triển khai ứng dụng nhất quán trên nhiều môi trường</t>
        </is>
      </c>
      <c r="G20" s="447" t="n"/>
      <c r="H20" s="355" t="n"/>
      <c r="I20" s="355" t="n"/>
      <c r="J20" s="447" t="n"/>
      <c r="K20" s="328" t="n"/>
      <c r="L20" s="328" t="n"/>
      <c r="M20" s="328" t="n"/>
      <c r="N20" s="356" t="n"/>
      <c r="O20" s="356" t="n"/>
    </row>
    <row r="21" ht="12.75" customHeight="1" s="443">
      <c r="A21" s="335" t="n">
        <v>7</v>
      </c>
      <c r="B21" s="343" t="inlineStr">
        <is>
          <t>API Key GPT</t>
        </is>
      </c>
      <c r="C21" s="479" t="inlineStr">
        <is>
          <t>Key sử dụng API của Open Platform API</t>
        </is>
      </c>
      <c r="D21" s="446" t="n"/>
      <c r="E21" s="447" t="n"/>
      <c r="F21" s="475" t="inlineStr">
        <is>
          <t>Tích hợp AI vào dự án</t>
        </is>
      </c>
      <c r="G21" s="447" t="n"/>
      <c r="H21" s="355" t="n"/>
      <c r="I21" s="355" t="n"/>
      <c r="J21" s="447" t="n"/>
      <c r="K21" s="328" t="n"/>
      <c r="L21" s="328" t="n"/>
      <c r="M21" s="328" t="n"/>
      <c r="N21" s="356" t="n"/>
      <c r="O21" s="356" t="n"/>
    </row>
    <row r="22">
      <c r="A22" s="204" t="n"/>
      <c r="B22" s="204" t="n"/>
      <c r="C22" s="204" t="n"/>
      <c r="D22" s="204" t="n"/>
      <c r="E22" s="204" t="n"/>
      <c r="F22" s="204" t="n"/>
      <c r="G22" s="204" t="n"/>
      <c r="H22" s="204" t="n"/>
      <c r="I22" s="204" t="n"/>
      <c r="J22" s="204" t="n"/>
    </row>
    <row r="23" ht="12.75" customHeight="1" s="443">
      <c r="A23" s="480" t="inlineStr">
        <is>
          <t>Kiểm tra / For Test</t>
        </is>
      </c>
      <c r="B23" s="444" t="n"/>
      <c r="C23" s="444" t="n"/>
      <c r="D23" s="444" t="n"/>
      <c r="E23" s="444" t="n"/>
      <c r="F23" s="444" t="n"/>
      <c r="G23" s="444" t="n"/>
      <c r="H23" s="444" t="n"/>
      <c r="I23" s="444" t="n"/>
      <c r="J23" s="451" t="n"/>
      <c r="K23" s="328" t="n"/>
      <c r="L23" s="328" t="n"/>
      <c r="M23" s="328" t="n"/>
      <c r="N23" s="356" t="n"/>
      <c r="O23" s="356" t="n"/>
    </row>
    <row r="24" ht="12.75" customHeight="1" s="443">
      <c r="A24" s="359" t="n">
        <v>1</v>
      </c>
      <c r="B24" s="363" t="inlineStr">
        <is>
          <t>Postman</t>
        </is>
      </c>
      <c r="C24" s="479" t="inlineStr">
        <is>
          <t>Công cụ kiểm thử API</t>
        </is>
      </c>
      <c r="D24" s="446" t="n"/>
      <c r="E24" s="447" t="n"/>
      <c r="F24" s="475" t="inlineStr">
        <is>
          <t>Gửi yêu cầu và kiểm thử các API RESTful</t>
        </is>
      </c>
      <c r="G24" s="447" t="n"/>
      <c r="H24" s="361" t="n"/>
      <c r="I24" s="366" t="n"/>
      <c r="J24" s="451" t="n"/>
      <c r="K24" s="328" t="n"/>
      <c r="L24" s="328" t="n"/>
      <c r="M24" s="328" t="n"/>
      <c r="N24" s="356" t="n"/>
      <c r="O24" s="356" t="n"/>
    </row>
    <row r="25" ht="12.75" customHeight="1" s="443">
      <c r="A25" s="359" t="n">
        <v>2</v>
      </c>
      <c r="B25" s="363" t="n"/>
      <c r="C25" s="479" t="n"/>
      <c r="D25" s="446" t="n"/>
      <c r="E25" s="447" t="n"/>
      <c r="F25" s="475" t="n"/>
      <c r="G25" s="447" t="n"/>
      <c r="H25" s="366" t="n"/>
      <c r="I25" s="366" t="n"/>
      <c r="J25" s="451" t="n"/>
      <c r="K25" s="328" t="n"/>
      <c r="L25" s="328" t="n"/>
      <c r="M25" s="328" t="n"/>
      <c r="N25" s="356" t="n"/>
      <c r="O25" s="356" t="n"/>
    </row>
    <row r="26" ht="12.75" customHeight="1" s="443">
      <c r="A26" s="359" t="n">
        <v>3</v>
      </c>
      <c r="B26" s="363" t="n"/>
      <c r="C26" s="479" t="n"/>
      <c r="D26" s="446" t="n"/>
      <c r="E26" s="447" t="n"/>
      <c r="F26" s="481" t="n"/>
      <c r="G26" s="451" t="n"/>
      <c r="H26" s="361" t="n"/>
      <c r="I26" s="366" t="n"/>
      <c r="J26" s="451" t="n"/>
      <c r="K26" s="328" t="n"/>
      <c r="L26" s="328" t="n"/>
      <c r="M26" s="328" t="n"/>
      <c r="N26" s="356" t="n"/>
      <c r="O26" s="356" t="n"/>
    </row>
    <row r="27" ht="12.75" customHeight="1" s="443">
      <c r="A27" s="368" t="n"/>
      <c r="B27" s="368" t="n"/>
      <c r="C27" s="368" t="n"/>
      <c r="D27" s="368" t="n"/>
      <c r="E27" s="368" t="n"/>
      <c r="F27" s="368" t="n"/>
      <c r="G27" s="368" t="n"/>
      <c r="H27" s="368" t="n"/>
      <c r="I27" s="368" t="n"/>
      <c r="J27" s="368" t="n"/>
      <c r="K27" s="369" t="n"/>
      <c r="L27" s="369" t="n"/>
      <c r="M27" s="322" t="n"/>
      <c r="N27" s="356" t="n"/>
      <c r="O27" s="356" t="n"/>
    </row>
    <row r="28" ht="15.75" customHeight="1" s="443">
      <c r="A28" s="469" t="inlineStr">
        <is>
          <t>2. Cấu trúc thư mục &amp; Quyền truy cập / Directory Structure &amp; Access Right</t>
        </is>
      </c>
      <c r="M28" s="322" t="n"/>
      <c r="N28" s="356" t="n"/>
      <c r="O28" s="322" t="n"/>
    </row>
    <row r="29" ht="12.75" customHeight="1" s="443">
      <c r="A29" s="214" t="n"/>
      <c r="B29" s="214" t="n"/>
      <c r="C29" s="214" t="n"/>
      <c r="D29" s="214" t="n"/>
      <c r="E29" s="214" t="n"/>
      <c r="F29" s="214" t="n"/>
      <c r="G29" s="214" t="n"/>
      <c r="H29" s="214" t="n"/>
      <c r="I29" s="214" t="n"/>
      <c r="J29" s="214" t="n"/>
      <c r="K29" s="322" t="n"/>
      <c r="L29" s="322" t="n"/>
      <c r="M29" s="322" t="n"/>
      <c r="N29" s="356" t="n"/>
      <c r="O29" s="322" t="n"/>
    </row>
    <row r="30" ht="15.75" customHeight="1" s="443">
      <c r="A30" s="370" t="inlineStr">
        <is>
          <t xml:space="preserve">Đường dẫn thư mục dự án/ Project Path: &lt;Link Google Driver&gt; </t>
        </is>
      </c>
      <c r="M30" s="328" t="n"/>
      <c r="N30" s="356" t="n"/>
      <c r="O30" s="328" t="n"/>
    </row>
    <row r="31" ht="15.75" customHeight="1" s="443">
      <c r="A31" s="482" t="inlineStr">
        <is>
          <t>Thư mục / Folder</t>
        </is>
      </c>
      <c r="B31" s="483" t="n"/>
      <c r="C31" s="484" t="n"/>
      <c r="D31" s="374" t="inlineStr">
        <is>
          <t>Mô tả / Description</t>
        </is>
      </c>
      <c r="E31" s="485" t="inlineStr">
        <is>
          <t>Phân quyền / Role</t>
        </is>
      </c>
      <c r="M31" s="328" t="n"/>
      <c r="N31" s="328" t="n"/>
      <c r="O31" s="328" t="n"/>
    </row>
    <row r="32" ht="123" customHeight="1" s="443">
      <c r="A32" s="376" t="n"/>
      <c r="B32" s="377" t="n"/>
      <c r="C32" s="378" t="n"/>
      <c r="D32" s="379" t="n"/>
      <c r="E32" s="381" t="inlineStr">
        <is>
          <t>PMO
Project DirectorProject Advisor: Cố vấn dự án
Project Assistant</t>
        </is>
      </c>
      <c r="F32" s="381" t="inlineStr">
        <is>
          <t>PD
Product Manager
Product Owner (PO)</t>
        </is>
      </c>
      <c r="G32" s="381" t="inlineStr">
        <is>
          <t>PM</t>
        </is>
      </c>
      <c r="H32" s="381" t="inlineStr">
        <is>
          <t>Game Designer</t>
        </is>
      </c>
      <c r="I32" s="381" t="inlineStr">
        <is>
          <t>QC</t>
        </is>
      </c>
      <c r="J32" s="381" t="inlineStr">
        <is>
          <t>QA</t>
        </is>
      </c>
      <c r="K32" s="381" t="inlineStr">
        <is>
          <t>Artist
Game Artist Leader
UI/UX Designer
Concept Artist
2D Game Artist (Gồm 2 vị trí)
3D Game Artist (Gồm 1 vị trí)
3D Animator
Sound Designer</t>
        </is>
      </c>
      <c r="L32" s="381" t="inlineStr">
        <is>
          <t>DEV
Technical Director/Leader
Unity Dev
Backend Dev
Tech Artist</t>
        </is>
      </c>
      <c r="M32" s="382" t="n"/>
      <c r="N32" s="382" t="n"/>
      <c r="O32" s="382" t="n"/>
    </row>
    <row r="33" ht="84" customHeight="1" s="443">
      <c r="A33" s="486" t="inlineStr">
        <is>
          <t>CONTROL</t>
        </is>
      </c>
      <c r="B33" s="483" t="n"/>
      <c r="C33" s="484" t="n"/>
      <c r="D33" s="384" t="inlineStr">
        <is>
          <t>Lưu trữ các tài liệu đã được duyệt / Store approved documents</t>
        </is>
      </c>
      <c r="E33" s="385" t="inlineStr">
        <is>
          <t>Trần Hải Trường
Nguyễn Ngọc Diệu</t>
        </is>
      </c>
      <c r="F33" s="385" t="inlineStr">
        <is>
          <t>Nguyễn Ngọc Khánh
Nguyễn Cao Hoàn Thanh</t>
        </is>
      </c>
      <c r="G33" s="385" t="inlineStr">
        <is>
          <t>Bùi Phúc Minh Tâm
Nguyễn Đức Tú</t>
        </is>
      </c>
      <c r="H33" s="385" t="inlineStr">
        <is>
          <t>Nguyễn Thành Lộc
Nguyễn Ngọc Thu Hằng
Võ Trần Hạnh Nguyên</t>
        </is>
      </c>
      <c r="I33" s="385" t="inlineStr">
        <is>
          <t>Trần Thị Thanh Vân
Bùi Thị Minh Thư
Cao Thị Phương</t>
        </is>
      </c>
      <c r="J33" s="385" t="inlineStr">
        <is>
          <t>Đinh Thị Tố Loan
Trần Kim Hương</t>
        </is>
      </c>
      <c r="K33" s="385" t="inlineStr">
        <is>
          <t>Hồ Quốc Phương
Lương Tấn Trung
Lê Hoàng Lan Vy</t>
        </is>
      </c>
      <c r="L33" s="385" t="inlineStr">
        <is>
          <t>Hà Duy Tuấn
Nguyễn Văn Tá
Ngô Trọng Hiếu
Nguyễn Thành Đạt
Đinh Thị Thủy
Nguyễn Hoàng Linh</t>
        </is>
      </c>
      <c r="M33" s="382" t="n"/>
      <c r="N33" s="382" t="n"/>
      <c r="O33" s="382" t="n"/>
    </row>
    <row r="34" ht="15.75" customHeight="1" s="443">
      <c r="A34" s="393" t="n"/>
      <c r="B34" s="487" t="inlineStr">
        <is>
          <t>Đội ngũ sản phẩm / Product Team</t>
        </is>
      </c>
      <c r="C34" s="484" t="n"/>
      <c r="D34" s="392" t="inlineStr">
        <is>
          <t>Product Backlog, URD, SRS</t>
        </is>
      </c>
      <c r="E34" s="390" t="inlineStr">
        <is>
          <t>V</t>
        </is>
      </c>
      <c r="F34" s="390" t="inlineStr">
        <is>
          <t>V</t>
        </is>
      </c>
      <c r="G34" s="390" t="inlineStr">
        <is>
          <t>Full</t>
        </is>
      </c>
      <c r="H34" s="390" t="inlineStr">
        <is>
          <t>V</t>
        </is>
      </c>
      <c r="I34" s="390" t="inlineStr">
        <is>
          <t>V</t>
        </is>
      </c>
      <c r="J34" s="390" t="inlineStr">
        <is>
          <t>V</t>
        </is>
      </c>
      <c r="K34" s="391" t="inlineStr">
        <is>
          <t>X</t>
        </is>
      </c>
      <c r="L34" s="391" t="inlineStr">
        <is>
          <t>X</t>
        </is>
      </c>
      <c r="M34" s="382" t="n"/>
      <c r="N34" s="382" t="n"/>
      <c r="O34" s="382" t="n"/>
    </row>
    <row r="35" ht="15.75" customHeight="1" s="443">
      <c r="A35" s="393" t="n"/>
      <c r="B35" s="487" t="inlineStr">
        <is>
          <t>Đội ngũ kiểm soát chất lượng / QA,QC team</t>
        </is>
      </c>
      <c r="C35" s="484" t="n"/>
      <c r="D35" s="392" t="inlineStr">
        <is>
          <t>TestPlan, TestCase, Test scenario, Test Report</t>
        </is>
      </c>
      <c r="E35" s="390" t="inlineStr">
        <is>
          <t>V</t>
        </is>
      </c>
      <c r="F35" s="390" t="inlineStr">
        <is>
          <t>V</t>
        </is>
      </c>
      <c r="G35" s="390" t="inlineStr">
        <is>
          <t>Full</t>
        </is>
      </c>
      <c r="H35" s="390" t="inlineStr">
        <is>
          <t>V</t>
        </is>
      </c>
      <c r="I35" s="390" t="inlineStr">
        <is>
          <t>V</t>
        </is>
      </c>
      <c r="J35" s="390" t="inlineStr">
        <is>
          <t>V</t>
        </is>
      </c>
      <c r="K35" s="391" t="inlineStr">
        <is>
          <t>X</t>
        </is>
      </c>
      <c r="L35" s="391" t="inlineStr">
        <is>
          <t>X</t>
        </is>
      </c>
      <c r="M35" s="382" t="n"/>
      <c r="N35" s="382" t="n"/>
      <c r="O35" s="382" t="n"/>
    </row>
    <row r="36" ht="15.75" customHeight="1" s="443">
      <c r="A36" s="393" t="n"/>
      <c r="B36" s="487" t="inlineStr">
        <is>
          <t>Đội ngũ thiết kế game / Game Design Team</t>
        </is>
      </c>
      <c r="C36" s="484" t="n"/>
      <c r="D36" s="392" t="inlineStr">
        <is>
          <t>Game Concept Document
Game Design Document
Game Asset List
Sound Design Document
Localization text
Game Tracking Document
Game Balance Document</t>
        </is>
      </c>
      <c r="E36" s="390" t="inlineStr">
        <is>
          <t>V</t>
        </is>
      </c>
      <c r="F36" s="390" t="inlineStr">
        <is>
          <t>V</t>
        </is>
      </c>
      <c r="G36" s="390" t="inlineStr">
        <is>
          <t>Full</t>
        </is>
      </c>
      <c r="H36" s="390" t="inlineStr">
        <is>
          <t>V</t>
        </is>
      </c>
      <c r="I36" s="390" t="inlineStr">
        <is>
          <t>V</t>
        </is>
      </c>
      <c r="J36" s="390" t="inlineStr">
        <is>
          <t>V</t>
        </is>
      </c>
      <c r="K36" s="390" t="inlineStr">
        <is>
          <t>V</t>
        </is>
      </c>
      <c r="L36" s="390" t="inlineStr">
        <is>
          <t>V</t>
        </is>
      </c>
      <c r="M36" s="382" t="n"/>
      <c r="N36" s="382" t="n"/>
      <c r="O36" s="382" t="n"/>
    </row>
    <row r="37" ht="15.75" customHeight="1" s="443">
      <c r="A37" s="393" t="n"/>
      <c r="B37" s="487" t="inlineStr">
        <is>
          <t>Đội ngũ nghệ thuật / Art team</t>
        </is>
      </c>
      <c r="C37" s="484" t="n"/>
      <c r="D37" s="392" t="inlineStr">
        <is>
          <t>Design Asset</t>
        </is>
      </c>
      <c r="E37" s="390" t="inlineStr">
        <is>
          <t>V</t>
        </is>
      </c>
      <c r="F37" s="390" t="inlineStr">
        <is>
          <t>V</t>
        </is>
      </c>
      <c r="G37" s="390" t="inlineStr">
        <is>
          <t>Full</t>
        </is>
      </c>
      <c r="H37" s="390" t="inlineStr">
        <is>
          <t>V</t>
        </is>
      </c>
      <c r="I37" s="391" t="inlineStr">
        <is>
          <t>X</t>
        </is>
      </c>
      <c r="J37" s="390" t="inlineStr">
        <is>
          <t>V</t>
        </is>
      </c>
      <c r="K37" s="390" t="inlineStr">
        <is>
          <t>V</t>
        </is>
      </c>
      <c r="L37" s="390" t="inlineStr">
        <is>
          <t>V</t>
        </is>
      </c>
      <c r="M37" s="382" t="n"/>
      <c r="N37" s="382" t="n"/>
      <c r="O37" s="382" t="n"/>
    </row>
    <row r="38" ht="15.75" customHeight="1" s="443">
      <c r="A38" s="393" t="n"/>
      <c r="B38" s="487" t="inlineStr">
        <is>
          <t>Đội ngũ âm thanh / Sound team</t>
        </is>
      </c>
      <c r="C38" s="484" t="n"/>
      <c r="D38" s="392" t="inlineStr">
        <is>
          <t>Sound Asset</t>
        </is>
      </c>
      <c r="E38" s="390" t="inlineStr">
        <is>
          <t>V</t>
        </is>
      </c>
      <c r="F38" s="390" t="inlineStr">
        <is>
          <t>V</t>
        </is>
      </c>
      <c r="G38" s="390" t="inlineStr">
        <is>
          <t>Full</t>
        </is>
      </c>
      <c r="H38" s="390" t="inlineStr">
        <is>
          <t>V</t>
        </is>
      </c>
      <c r="I38" s="391" t="inlineStr">
        <is>
          <t>X</t>
        </is>
      </c>
      <c r="J38" s="390" t="inlineStr">
        <is>
          <t>V</t>
        </is>
      </c>
      <c r="K38" s="390" t="inlineStr">
        <is>
          <t>V</t>
        </is>
      </c>
      <c r="L38" s="390" t="inlineStr">
        <is>
          <t>V</t>
        </is>
      </c>
      <c r="M38" s="382" t="n"/>
      <c r="N38" s="382" t="n"/>
      <c r="O38" s="382" t="n"/>
    </row>
    <row r="39" ht="15.75" customHeight="1" s="443">
      <c r="A39" s="393" t="n"/>
      <c r="B39" s="487" t="inlineStr">
        <is>
          <t>Đội ngũ phát triển / Developer team</t>
        </is>
      </c>
      <c r="C39" s="484" t="n"/>
      <c r="D39" s="392" t="inlineStr">
        <is>
          <t>Source chương trình cài đặt cho khách hàng / Source installation program for clients
UM. IM</t>
        </is>
      </c>
      <c r="E39" s="390" t="inlineStr">
        <is>
          <t>V</t>
        </is>
      </c>
      <c r="F39" s="390" t="inlineStr">
        <is>
          <t>V</t>
        </is>
      </c>
      <c r="G39" s="390" t="inlineStr">
        <is>
          <t>Full</t>
        </is>
      </c>
      <c r="H39" s="390" t="inlineStr">
        <is>
          <t>V</t>
        </is>
      </c>
      <c r="I39" s="390" t="inlineStr">
        <is>
          <t>V</t>
        </is>
      </c>
      <c r="J39" s="390" t="inlineStr">
        <is>
          <t>V</t>
        </is>
      </c>
      <c r="K39" s="390" t="inlineStr">
        <is>
          <t>V</t>
        </is>
      </c>
      <c r="L39" s="390" t="inlineStr">
        <is>
          <t>V</t>
        </is>
      </c>
      <c r="M39" s="382" t="n"/>
      <c r="N39" s="382" t="n"/>
      <c r="O39" s="382" t="n"/>
    </row>
    <row r="40" ht="15.75" customHeight="1" s="443">
      <c r="A40" s="393" t="n"/>
      <c r="B40" s="487" t="inlineStr">
        <is>
          <t>Triển khai / Deployment</t>
        </is>
      </c>
      <c r="C40" s="484" t="n"/>
      <c r="D40" s="392" t="n"/>
      <c r="E40" s="390" t="inlineStr">
        <is>
          <t>V</t>
        </is>
      </c>
      <c r="F40" s="390" t="inlineStr">
        <is>
          <t>V</t>
        </is>
      </c>
      <c r="G40" s="390" t="inlineStr">
        <is>
          <t>Full</t>
        </is>
      </c>
      <c r="H40" s="390" t="inlineStr">
        <is>
          <t>V</t>
        </is>
      </c>
      <c r="I40" s="390" t="inlineStr">
        <is>
          <t>V</t>
        </is>
      </c>
      <c r="J40" s="390" t="inlineStr">
        <is>
          <t>V</t>
        </is>
      </c>
      <c r="K40" s="390" t="inlineStr">
        <is>
          <t>V</t>
        </is>
      </c>
      <c r="L40" s="390" t="inlineStr">
        <is>
          <t>V</t>
        </is>
      </c>
      <c r="M40" s="382" t="n"/>
      <c r="N40" s="382" t="n"/>
      <c r="O40" s="382" t="n"/>
    </row>
    <row r="41" ht="15.75" customHeight="1" s="443">
      <c r="A41" s="393" t="n"/>
      <c r="B41" s="487" t="inlineStr">
        <is>
          <t>Tài liệu tham khảo / References</t>
        </is>
      </c>
      <c r="C41" s="484" t="n"/>
      <c r="D41" s="392" t="n"/>
      <c r="E41" s="390" t="inlineStr">
        <is>
          <t>V</t>
        </is>
      </c>
      <c r="F41" s="390" t="inlineStr">
        <is>
          <t>V</t>
        </is>
      </c>
      <c r="G41" s="390" t="inlineStr">
        <is>
          <t>Full</t>
        </is>
      </c>
      <c r="H41" s="390" t="inlineStr">
        <is>
          <t>V</t>
        </is>
      </c>
      <c r="I41" s="390" t="inlineStr">
        <is>
          <t>V</t>
        </is>
      </c>
      <c r="J41" s="390" t="inlineStr">
        <is>
          <t>V</t>
        </is>
      </c>
      <c r="K41" s="390" t="inlineStr">
        <is>
          <t>V</t>
        </is>
      </c>
      <c r="L41" s="390" t="inlineStr">
        <is>
          <t>V</t>
        </is>
      </c>
      <c r="M41" s="382" t="n"/>
      <c r="N41" s="382" t="n"/>
      <c r="O41" s="382" t="n"/>
    </row>
    <row r="42" ht="15.75" customHeight="1" s="443">
      <c r="A42" s="393" t="n"/>
      <c r="B42" s="487" t="inlineStr">
        <is>
          <t xml:space="preserve">Quản lý dự án / Project Management </t>
        </is>
      </c>
      <c r="C42" s="484" t="n"/>
      <c r="D42" s="392" t="inlineStr">
        <is>
          <t>Kế hoạch dự án, Kế hoạch chi tiết, Kế hoạch UAT, Kế hoạch Golive / Project Plan, Project Detail, UAT Plan, Golive Plan</t>
        </is>
      </c>
      <c r="E42" s="390" t="inlineStr">
        <is>
          <t>V</t>
        </is>
      </c>
      <c r="F42" s="390" t="inlineStr">
        <is>
          <t>V</t>
        </is>
      </c>
      <c r="G42" s="390" t="inlineStr">
        <is>
          <t>Full</t>
        </is>
      </c>
      <c r="H42" s="390" t="inlineStr">
        <is>
          <t>V</t>
        </is>
      </c>
      <c r="I42" s="391" t="inlineStr">
        <is>
          <t>X</t>
        </is>
      </c>
      <c r="J42" s="390" t="inlineStr">
        <is>
          <t>V</t>
        </is>
      </c>
      <c r="K42" s="391" t="inlineStr">
        <is>
          <t>X</t>
        </is>
      </c>
      <c r="L42" s="391" t="inlineStr">
        <is>
          <t>X</t>
        </is>
      </c>
      <c r="M42" s="382" t="n"/>
      <c r="N42" s="382" t="n"/>
      <c r="O42" s="382" t="n"/>
    </row>
    <row r="43" ht="15.75" customHeight="1" s="443">
      <c r="A43" s="486" t="inlineStr">
        <is>
          <t xml:space="preserve">WIP </t>
        </is>
      </c>
      <c r="B43" s="483" t="n"/>
      <c r="C43" s="484" t="n"/>
      <c r="D43" s="384" t="inlineStr">
        <is>
          <t>Lưu trữ các tài liệu đang soạn thảo / Archive documents in progress</t>
        </is>
      </c>
      <c r="E43" s="390" t="n"/>
      <c r="F43" s="390" t="n"/>
      <c r="G43" s="390" t="n"/>
      <c r="H43" s="390" t="n"/>
      <c r="I43" s="390" t="n"/>
      <c r="J43" s="390" t="n"/>
      <c r="K43" s="390" t="n"/>
      <c r="L43" s="390" t="n"/>
      <c r="M43" s="382" t="n"/>
      <c r="N43" s="382" t="n"/>
      <c r="O43" s="382" t="n"/>
    </row>
    <row r="44" ht="15.75" customHeight="1" s="443">
      <c r="A44" s="393" t="n"/>
      <c r="B44" s="486" t="inlineStr">
        <is>
          <t>Đội ngũ sản phẩm / Product Team</t>
        </is>
      </c>
      <c r="C44" s="484" t="n"/>
      <c r="D44" s="392" t="inlineStr">
        <is>
          <t>Product Backlog,URD, SRS</t>
        </is>
      </c>
      <c r="E44" s="390" t="inlineStr">
        <is>
          <t>V/C</t>
        </is>
      </c>
      <c r="F44" s="390" t="inlineStr">
        <is>
          <t>E
Nguyễn Ngọc Khánh
Nguyễn Cao Hoàn Thanh</t>
        </is>
      </c>
      <c r="G44" s="390" t="inlineStr">
        <is>
          <t>Full</t>
        </is>
      </c>
      <c r="H44" s="390" t="inlineStr">
        <is>
          <t>V</t>
        </is>
      </c>
      <c r="I44" s="390" t="inlineStr">
        <is>
          <t>V</t>
        </is>
      </c>
      <c r="J44" s="390" t="inlineStr">
        <is>
          <t>V</t>
        </is>
      </c>
      <c r="K44" s="391" t="inlineStr">
        <is>
          <t>X</t>
        </is>
      </c>
      <c r="L44" s="391" t="inlineStr">
        <is>
          <t>X</t>
        </is>
      </c>
      <c r="M44" s="382" t="n"/>
      <c r="N44" s="382" t="n"/>
      <c r="O44" s="382" t="n"/>
    </row>
    <row r="45" ht="15.75" customHeight="1" s="443">
      <c r="A45" s="393" t="n"/>
      <c r="B45" s="486" t="inlineStr">
        <is>
          <t>Đội ngũ kiểm soát chất lượng / QA,QC team</t>
        </is>
      </c>
      <c r="C45" s="484" t="n"/>
      <c r="D45" s="392" t="inlineStr">
        <is>
          <t>TestPlan, TestCase, Test scenario, Test Report</t>
        </is>
      </c>
      <c r="E45" s="390" t="inlineStr">
        <is>
          <t>V/C</t>
        </is>
      </c>
      <c r="F45" s="390" t="inlineStr">
        <is>
          <t>V/C</t>
        </is>
      </c>
      <c r="G45" s="390" t="inlineStr">
        <is>
          <t>Full</t>
        </is>
      </c>
      <c r="H45" s="390" t="inlineStr">
        <is>
          <t>V</t>
        </is>
      </c>
      <c r="I45" s="390" t="inlineStr">
        <is>
          <t>E
Trần Thị Thanh Vân
Bùi Thị Minh Thư
Cao Thị Phương</t>
        </is>
      </c>
      <c r="J45" s="390" t="inlineStr">
        <is>
          <t>V</t>
        </is>
      </c>
      <c r="K45" s="391" t="inlineStr">
        <is>
          <t>X</t>
        </is>
      </c>
      <c r="L45" s="391" t="inlineStr">
        <is>
          <t>X</t>
        </is>
      </c>
      <c r="M45" s="382" t="n"/>
      <c r="N45" s="382" t="n"/>
      <c r="O45" s="382" t="n"/>
    </row>
    <row r="46" ht="15.75" customHeight="1" s="443">
      <c r="A46" s="393" t="n"/>
      <c r="B46" s="486" t="inlineStr">
        <is>
          <t>Đội ngũ thiết kế game / Game Design Team</t>
        </is>
      </c>
      <c r="C46" s="484" t="n"/>
      <c r="D46" s="392" t="inlineStr">
        <is>
          <t>Game Concept Document
Game Design Document
Game Asset List
Sound Design Document
Localization text
Game Tracking Document
Game Balance Document</t>
        </is>
      </c>
      <c r="E46" s="390" t="inlineStr">
        <is>
          <t>V/C</t>
        </is>
      </c>
      <c r="F46" s="390" t="inlineStr">
        <is>
          <t>V/C</t>
        </is>
      </c>
      <c r="G46" s="390" t="inlineStr">
        <is>
          <t>Full</t>
        </is>
      </c>
      <c r="H46" s="390" t="inlineStr">
        <is>
          <t>E
Nguyễn Thành Lộc
Nguyễn Ngọc Thu Hằng
Võ Trần Hạnh Nguyên</t>
        </is>
      </c>
      <c r="I46" s="390" t="inlineStr">
        <is>
          <t>V</t>
        </is>
      </c>
      <c r="J46" s="390" t="inlineStr">
        <is>
          <t>V</t>
        </is>
      </c>
      <c r="K46" s="390" t="inlineStr">
        <is>
          <t>V</t>
        </is>
      </c>
      <c r="L46" s="390" t="inlineStr">
        <is>
          <t>V</t>
        </is>
      </c>
      <c r="M46" s="382" t="n"/>
      <c r="N46" s="382" t="n"/>
      <c r="O46" s="382" t="n"/>
    </row>
    <row r="47" ht="15.75" customHeight="1" s="443">
      <c r="A47" s="393" t="n"/>
      <c r="B47" s="486" t="inlineStr">
        <is>
          <t>Đội ngũ nghệ thuật / Art team</t>
        </is>
      </c>
      <c r="C47" s="484" t="n"/>
      <c r="D47" s="392" t="inlineStr">
        <is>
          <t>Design Asset</t>
        </is>
      </c>
      <c r="E47" s="390" t="inlineStr">
        <is>
          <t>V/C</t>
        </is>
      </c>
      <c r="F47" s="390" t="inlineStr">
        <is>
          <t>V/C</t>
        </is>
      </c>
      <c r="G47" s="390" t="inlineStr">
        <is>
          <t>Full</t>
        </is>
      </c>
      <c r="H47" s="390" t="inlineStr">
        <is>
          <t>V</t>
        </is>
      </c>
      <c r="I47" s="391" t="inlineStr">
        <is>
          <t>X</t>
        </is>
      </c>
      <c r="J47" s="390" t="inlineStr">
        <is>
          <t>V</t>
        </is>
      </c>
      <c r="K47" s="390" t="inlineStr">
        <is>
          <t>E
Hồ Quốc Phương
Lương Tấn Trung
Lê Hoàng Lan Vy</t>
        </is>
      </c>
      <c r="L47" s="390" t="inlineStr">
        <is>
          <t>V</t>
        </is>
      </c>
      <c r="M47" s="382" t="n"/>
      <c r="N47" s="382" t="n"/>
      <c r="O47" s="382" t="n"/>
    </row>
    <row r="48" ht="15.75" customHeight="1" s="443">
      <c r="A48" s="393" t="n"/>
      <c r="B48" s="486" t="inlineStr">
        <is>
          <t>Đội ngũ âm thanh / Sound team</t>
        </is>
      </c>
      <c r="C48" s="484" t="n"/>
      <c r="D48" s="392" t="inlineStr">
        <is>
          <t>Sound Asset</t>
        </is>
      </c>
      <c r="E48" s="390" t="inlineStr">
        <is>
          <t>V/C</t>
        </is>
      </c>
      <c r="F48" s="390" t="inlineStr">
        <is>
          <t>V/C</t>
        </is>
      </c>
      <c r="G48" s="390" t="inlineStr">
        <is>
          <t>Full</t>
        </is>
      </c>
      <c r="H48" s="390" t="inlineStr">
        <is>
          <t>V</t>
        </is>
      </c>
      <c r="I48" s="391" t="inlineStr">
        <is>
          <t>X</t>
        </is>
      </c>
      <c r="J48" s="390" t="inlineStr">
        <is>
          <t>V</t>
        </is>
      </c>
      <c r="K48" s="390" t="inlineStr">
        <is>
          <t>E
Hồ Quốc Phương</t>
        </is>
      </c>
      <c r="L48" s="390" t="inlineStr">
        <is>
          <t>V</t>
        </is>
      </c>
      <c r="M48" s="382" t="n"/>
      <c r="N48" s="382" t="n"/>
      <c r="O48" s="382" t="n"/>
    </row>
    <row r="49" ht="15.75" customHeight="1" s="443">
      <c r="A49" s="393" t="n"/>
      <c r="B49" s="486" t="inlineStr">
        <is>
          <t>Đội ngũ phát triển / Developer team</t>
        </is>
      </c>
      <c r="C49" s="484" t="n"/>
      <c r="D49" s="392" t="inlineStr">
        <is>
          <t>Source chương trình cài đặt cho khách hàng / Source installation program for clients
UM. IM</t>
        </is>
      </c>
      <c r="E49" s="390" t="inlineStr">
        <is>
          <t>V/C</t>
        </is>
      </c>
      <c r="F49" s="390" t="inlineStr">
        <is>
          <t>V/C</t>
        </is>
      </c>
      <c r="G49" s="390" t="inlineStr">
        <is>
          <t>Full</t>
        </is>
      </c>
      <c r="H49" s="390" t="inlineStr">
        <is>
          <t>V</t>
        </is>
      </c>
      <c r="I49" s="390" t="inlineStr">
        <is>
          <t>V</t>
        </is>
      </c>
      <c r="J49" s="390" t="inlineStr">
        <is>
          <t>V</t>
        </is>
      </c>
      <c r="K49" s="390" t="inlineStr">
        <is>
          <t>V</t>
        </is>
      </c>
      <c r="L49" s="390" t="inlineStr">
        <is>
          <t>E
Hà Duy Tuấn
Nguyễn Văn Tá
Ngô Trọng Hiếu
Nguyễn Thành Đạt
Đinh Thị Thủy
Nguyễn Hoàng Linh</t>
        </is>
      </c>
      <c r="M49" s="382" t="n"/>
      <c r="N49" s="382" t="n"/>
      <c r="O49" s="382" t="n"/>
    </row>
    <row r="50" ht="15.75" customHeight="1" s="443">
      <c r="A50" s="393" t="n"/>
      <c r="B50" s="486" t="inlineStr">
        <is>
          <t>Triển khai / Deployment</t>
        </is>
      </c>
      <c r="C50" s="484" t="n"/>
      <c r="D50" s="392" t="n"/>
      <c r="E50" s="390" t="inlineStr">
        <is>
          <t>V/C</t>
        </is>
      </c>
      <c r="F50" s="390" t="inlineStr">
        <is>
          <t>V/C</t>
        </is>
      </c>
      <c r="G50" s="390" t="inlineStr">
        <is>
          <t>Full</t>
        </is>
      </c>
      <c r="H50" s="390" t="inlineStr">
        <is>
          <t>V</t>
        </is>
      </c>
      <c r="I50" s="390" t="inlineStr">
        <is>
          <t>V</t>
        </is>
      </c>
      <c r="J50" s="390" t="inlineStr">
        <is>
          <t>V</t>
        </is>
      </c>
      <c r="K50" s="390" t="inlineStr">
        <is>
          <t>V</t>
        </is>
      </c>
      <c r="L50" s="390" t="inlineStr">
        <is>
          <t>E
Hà Duy Tuấn
Nguyễn Văn Tá
Ngô Trọng Hiếu
Nguyễn Thành Đạt
Đinh Thị Thủy
Nguyễn Hoàng Linh</t>
        </is>
      </c>
      <c r="M50" s="382" t="n"/>
      <c r="N50" s="382" t="n"/>
      <c r="O50" s="382" t="n"/>
    </row>
    <row r="51" ht="15.75" customHeight="1" s="443">
      <c r="A51" s="393" t="n"/>
      <c r="B51" s="486" t="inlineStr">
        <is>
          <t>Tài liệu tham khảo / References</t>
        </is>
      </c>
      <c r="C51" s="484" t="n"/>
      <c r="D51" s="392" t="n"/>
      <c r="E51" s="390" t="inlineStr">
        <is>
          <t>V/C</t>
        </is>
      </c>
      <c r="F51" s="390" t="inlineStr">
        <is>
          <t>V/C</t>
        </is>
      </c>
      <c r="G51" s="390" t="inlineStr">
        <is>
          <t>Full</t>
        </is>
      </c>
      <c r="H51" s="390" t="inlineStr">
        <is>
          <t>V</t>
        </is>
      </c>
      <c r="I51" s="390" t="inlineStr">
        <is>
          <t>V</t>
        </is>
      </c>
      <c r="J51" s="390" t="inlineStr">
        <is>
          <t>V</t>
        </is>
      </c>
      <c r="K51" s="390" t="inlineStr">
        <is>
          <t>V</t>
        </is>
      </c>
      <c r="L51" s="390" t="inlineStr">
        <is>
          <t>V</t>
        </is>
      </c>
      <c r="M51" s="382" t="n"/>
      <c r="N51" s="382" t="n"/>
      <c r="O51" s="382" t="n"/>
    </row>
    <row r="52" ht="15.75" customHeight="1" s="443">
      <c r="A52" s="393" t="n"/>
      <c r="B52" s="486" t="inlineStr">
        <is>
          <t xml:space="preserve">Quản lý dự án / Project Management </t>
        </is>
      </c>
      <c r="C52" s="484" t="n"/>
      <c r="D52" s="392" t="n"/>
      <c r="E52" s="390" t="inlineStr">
        <is>
          <t>V/C</t>
        </is>
      </c>
      <c r="F52" s="390" t="inlineStr">
        <is>
          <t>V/C</t>
        </is>
      </c>
      <c r="G52" s="390" t="inlineStr">
        <is>
          <t>Full</t>
        </is>
      </c>
      <c r="H52" s="390" t="inlineStr">
        <is>
          <t>V</t>
        </is>
      </c>
      <c r="I52" s="391" t="inlineStr">
        <is>
          <t>X</t>
        </is>
      </c>
      <c r="J52" s="390" t="inlineStr">
        <is>
          <t>E
Đinh Thị Tố Loan
Trần Kim Hương</t>
        </is>
      </c>
      <c r="K52" s="391" t="inlineStr">
        <is>
          <t>X</t>
        </is>
      </c>
      <c r="L52" s="391" t="inlineStr">
        <is>
          <t>X</t>
        </is>
      </c>
      <c r="M52" s="382" t="n"/>
      <c r="N52" s="382" t="n"/>
      <c r="O52" s="382" t="n"/>
    </row>
    <row r="53" ht="15.75" customHeight="1" s="443">
      <c r="A53" s="393" t="n"/>
      <c r="B53" s="392" t="n"/>
      <c r="C53" s="392" t="inlineStr">
        <is>
          <t>Kế hoạch / Plan</t>
        </is>
      </c>
      <c r="D53" s="392" t="inlineStr">
        <is>
          <t>Kế hoạch dự án, Kế hoạch chi tiết, Kế hoạch UAT, Kế hoạch Golive / Project Plan, Project Detail, UAT Plan, Golive Plan</t>
        </is>
      </c>
      <c r="E53" s="390" t="inlineStr">
        <is>
          <t>V/C</t>
        </is>
      </c>
      <c r="F53" s="390" t="inlineStr">
        <is>
          <t>V/C</t>
        </is>
      </c>
      <c r="G53" s="390" t="inlineStr">
        <is>
          <t>Full</t>
        </is>
      </c>
      <c r="H53" s="390" t="inlineStr">
        <is>
          <t>V</t>
        </is>
      </c>
      <c r="I53" s="391" t="inlineStr">
        <is>
          <t>X</t>
        </is>
      </c>
      <c r="J53" s="390" t="inlineStr">
        <is>
          <t>E
Đinh Thị Tố Loan
Trần Kim Hương</t>
        </is>
      </c>
      <c r="K53" s="391" t="inlineStr">
        <is>
          <t>X</t>
        </is>
      </c>
      <c r="L53" s="391" t="inlineStr">
        <is>
          <t>X</t>
        </is>
      </c>
      <c r="M53" s="382" t="n"/>
      <c r="N53" s="382" t="n"/>
      <c r="O53" s="382" t="n"/>
    </row>
    <row r="54" ht="15.75" customHeight="1" s="443">
      <c r="A54" s="393" t="n"/>
      <c r="B54" s="392" t="n"/>
      <c r="C54" s="392" t="inlineStr">
        <is>
          <t xml:space="preserve">Báo cáo / Report </t>
        </is>
      </c>
      <c r="D54" s="392" t="inlineStr">
        <is>
          <t>Báo cáo trong dự án: Báo cáo cơ sở, Báo cáo sau khi kết thúc dự án, Báo cáo quan trọng, Báo cáo hàng tuần / Project Report: Baseline Report, PostMortem Report, Milestone Report, Weekly Report</t>
        </is>
      </c>
      <c r="E54" s="390" t="inlineStr">
        <is>
          <t>V/C</t>
        </is>
      </c>
      <c r="F54" s="390" t="inlineStr">
        <is>
          <t>V/C</t>
        </is>
      </c>
      <c r="G54" s="390" t="inlineStr">
        <is>
          <t>Full</t>
        </is>
      </c>
      <c r="H54" s="390" t="inlineStr">
        <is>
          <t>V</t>
        </is>
      </c>
      <c r="I54" s="391" t="inlineStr">
        <is>
          <t>X</t>
        </is>
      </c>
      <c r="J54" s="390" t="inlineStr">
        <is>
          <t>E
Đinh Thị Tố Loan
Trần Kim Hương</t>
        </is>
      </c>
      <c r="K54" s="391" t="inlineStr">
        <is>
          <t>X</t>
        </is>
      </c>
      <c r="L54" s="391" t="inlineStr">
        <is>
          <t>X</t>
        </is>
      </c>
      <c r="M54" s="382" t="n"/>
      <c r="N54" s="382" t="n"/>
      <c r="O54" s="382" t="n"/>
    </row>
    <row r="55" ht="15.75" customHeight="1" s="443">
      <c r="A55" s="393" t="n"/>
      <c r="B55" s="392" t="n"/>
      <c r="C55" s="392" t="inlineStr">
        <is>
          <t>Ghi chú cuộc họp / Minutes</t>
        </is>
      </c>
      <c r="D55" s="392" t="inlineStr">
        <is>
          <t>Biên bản họp, mail khách hàng / Meeting minutes, customer emails</t>
        </is>
      </c>
      <c r="E55" s="390" t="inlineStr">
        <is>
          <t>V/C</t>
        </is>
      </c>
      <c r="F55" s="390" t="inlineStr">
        <is>
          <t>V/C</t>
        </is>
      </c>
      <c r="G55" s="390" t="inlineStr">
        <is>
          <t>Full</t>
        </is>
      </c>
      <c r="H55" s="390" t="inlineStr">
        <is>
          <t>V</t>
        </is>
      </c>
      <c r="I55" s="391" t="inlineStr">
        <is>
          <t>X</t>
        </is>
      </c>
      <c r="J55" s="390" t="inlineStr">
        <is>
          <t>E
Đinh Thị Tố Loan
Trần Kim Hương</t>
        </is>
      </c>
      <c r="K55" s="391" t="inlineStr">
        <is>
          <t>X</t>
        </is>
      </c>
      <c r="L55" s="391" t="inlineStr">
        <is>
          <t>X</t>
        </is>
      </c>
      <c r="M55" s="382" t="n"/>
      <c r="N55" s="382" t="n"/>
      <c r="O55" s="382" t="n"/>
    </row>
    <row r="56" ht="15.75" customHeight="1" s="443">
      <c r="A56" s="393" t="n"/>
      <c r="B56" s="392" t="n"/>
      <c r="C56" s="392" t="inlineStr">
        <is>
          <t>Khách hàng / Customer</t>
        </is>
      </c>
      <c r="D56" s="392" t="inlineStr">
        <is>
          <t>Lưu hợp đồng kinh tế, các report và các tài liệu khách hàng cung cấp / Archive economic contracts, reports and customer-supplied documents</t>
        </is>
      </c>
      <c r="E56" s="390" t="inlineStr">
        <is>
          <t>V/C</t>
        </is>
      </c>
      <c r="F56" s="390" t="inlineStr">
        <is>
          <t>V/C</t>
        </is>
      </c>
      <c r="G56" s="390" t="inlineStr">
        <is>
          <t>Full</t>
        </is>
      </c>
      <c r="H56" s="390" t="inlineStr">
        <is>
          <t>V</t>
        </is>
      </c>
      <c r="I56" s="391" t="inlineStr">
        <is>
          <t>X</t>
        </is>
      </c>
      <c r="J56" s="390" t="inlineStr">
        <is>
          <t>E
Đinh Thị Tố Loan
Trần Kim Hương</t>
        </is>
      </c>
      <c r="K56" s="391" t="inlineStr">
        <is>
          <t>X</t>
        </is>
      </c>
      <c r="L56" s="391" t="inlineStr">
        <is>
          <t>X</t>
        </is>
      </c>
      <c r="M56" s="382" t="n"/>
      <c r="N56" s="382" t="n"/>
      <c r="O56" s="382" t="n"/>
    </row>
    <row r="57" ht="15.75" customHeight="1" s="443">
      <c r="A57" s="393" t="n"/>
      <c r="B57" s="392" t="n"/>
      <c r="C57" s="392" t="inlineStr">
        <is>
          <t>Ghi âm / Records</t>
        </is>
      </c>
      <c r="D57" s="392" t="inlineStr">
        <is>
          <t>Lưu các biên bản bàn giao sản phẩm cho khách hàng. / Archive records of product handover to customers.</t>
        </is>
      </c>
      <c r="E57" s="390" t="inlineStr">
        <is>
          <t>V/C</t>
        </is>
      </c>
      <c r="F57" s="390" t="inlineStr">
        <is>
          <t>V/C</t>
        </is>
      </c>
      <c r="G57" s="390" t="inlineStr">
        <is>
          <t>Full</t>
        </is>
      </c>
      <c r="H57" s="390" t="inlineStr">
        <is>
          <t>V</t>
        </is>
      </c>
      <c r="I57" s="391" t="inlineStr">
        <is>
          <t>X</t>
        </is>
      </c>
      <c r="J57" s="390" t="inlineStr">
        <is>
          <t>E
Đinh Thị Tố Loan
Trần Kim Hương</t>
        </is>
      </c>
      <c r="K57" s="391" t="inlineStr">
        <is>
          <t>X</t>
        </is>
      </c>
      <c r="L57" s="391" t="inlineStr">
        <is>
          <t>X</t>
        </is>
      </c>
      <c r="M57" s="382" t="n"/>
      <c r="N57" s="382" t="n"/>
      <c r="O57" s="382" t="n"/>
    </row>
    <row r="58" ht="15.75" customHeight="1" s="443">
      <c r="A58" s="486" t="inlineStr">
        <is>
          <t xml:space="preserve">REUSE </t>
        </is>
      </c>
      <c r="B58" s="483" t="n"/>
      <c r="C58" s="484" t="n"/>
      <c r="D58" s="392" t="inlineStr">
        <is>
          <t>Sản phẩm tái sử dụng từ dự án khác / Reusable products from other projects</t>
        </is>
      </c>
      <c r="E58" s="390" t="inlineStr">
        <is>
          <t>V/C</t>
        </is>
      </c>
      <c r="F58" s="390" t="inlineStr">
        <is>
          <t>V/C</t>
        </is>
      </c>
      <c r="G58" s="390" t="inlineStr">
        <is>
          <t>Full</t>
        </is>
      </c>
      <c r="H58" s="390" t="inlineStr">
        <is>
          <t>V</t>
        </is>
      </c>
      <c r="I58" s="390" t="inlineStr">
        <is>
          <t>V</t>
        </is>
      </c>
      <c r="J58" s="390" t="inlineStr">
        <is>
          <t>V</t>
        </is>
      </c>
      <c r="K58" s="391" t="inlineStr">
        <is>
          <t>X</t>
        </is>
      </c>
      <c r="L58" s="391" t="inlineStr">
        <is>
          <t>X</t>
        </is>
      </c>
      <c r="M58" s="382" t="n"/>
      <c r="N58" s="382" t="n"/>
      <c r="O58" s="382" t="n"/>
    </row>
    <row r="59" ht="15.75" customHeight="1" s="443">
      <c r="A59" s="488" t="inlineStr">
        <is>
          <t>Ghi chú: Cán bộ phụ trách hỗ trợ Tin học (IT) đơn vị có toàn quyền kiểm soát đối với tất cả các thư mục trên để lưu trữ dự phòng hệ thống định kỳ. / Note: The unit in charge of IT support has full control over all of the above folders for periodic system backup.
- V (Viewer): Có thể mở và xem tài liệu/ Can open and view the document
- C (Commenter): Có thể làm mọi thứ mà Viewer có thể. Có thể thêm bình luận trong tài liệu/ Can do everything a viewer can do. You can comment in the Document.
- E (Editor): Có thể làm mọi thứ mà Commenter có thể. Có thể chỉnh sửa tài liệu/ Can do everything a commenter can do; and edit the document
- Full: Có toàn quyền trong tài liệu/ Can do everything in the Document
- X: Không được quyền truy cập vào thư mục/ tài liệu</t>
        </is>
      </c>
      <c r="B59" s="489" t="n"/>
      <c r="C59" s="489" t="n"/>
      <c r="D59" s="489" t="n"/>
      <c r="E59" s="489" t="n"/>
      <c r="F59" s="489" t="n"/>
      <c r="G59" s="489" t="n"/>
      <c r="H59" s="489" t="n"/>
      <c r="I59" s="489" t="n"/>
      <c r="J59" s="489" t="n"/>
      <c r="K59" s="489" t="n"/>
      <c r="L59" s="489" t="n"/>
      <c r="M59" s="382" t="n"/>
      <c r="N59" s="382" t="n"/>
      <c r="O59" s="382" t="n"/>
    </row>
    <row r="60" ht="12.75" customHeight="1" s="443">
      <c r="A60" s="322" t="n"/>
      <c r="B60" s="399" t="n"/>
      <c r="C60" s="399" t="n"/>
      <c r="D60" s="399" t="n"/>
      <c r="E60" s="399" t="n"/>
      <c r="F60" s="399" t="n"/>
      <c r="G60" s="399" t="n"/>
      <c r="H60" s="399" t="n"/>
      <c r="I60" s="399" t="n"/>
      <c r="J60" s="399" t="n"/>
      <c r="K60" s="400" t="n"/>
      <c r="L60" s="400" t="n"/>
      <c r="M60" s="400" t="n"/>
      <c r="N60" s="400" t="n"/>
      <c r="O60" s="400" t="n"/>
    </row>
    <row r="61" ht="15.75" customHeight="1" s="443">
      <c r="A61" s="469" t="inlineStr">
        <is>
          <t>3. Chiến lược dự phòng / Backup Strategy</t>
        </is>
      </c>
      <c r="M61" s="322" t="n"/>
      <c r="N61" s="322" t="n"/>
      <c r="O61" s="322" t="n"/>
    </row>
    <row r="62" ht="12.75" customHeight="1" s="443">
      <c r="A62" s="322" t="n"/>
      <c r="B62" s="399" t="n"/>
      <c r="C62" s="399" t="n"/>
      <c r="D62" s="399" t="n"/>
      <c r="E62" s="399" t="n"/>
      <c r="F62" s="399" t="n"/>
      <c r="G62" s="399" t="n"/>
      <c r="H62" s="399" t="n"/>
      <c r="I62" s="399" t="n"/>
      <c r="J62" s="399" t="n"/>
      <c r="K62" s="400" t="n"/>
      <c r="L62" s="400" t="n"/>
      <c r="M62" s="400" t="n"/>
      <c r="N62" s="400" t="n"/>
      <c r="O62" s="400" t="n"/>
    </row>
    <row r="63" ht="12.75" customHeight="1" s="443">
      <c r="A63" s="401" t="n"/>
      <c r="B63" s="401" t="n"/>
      <c r="C63" s="401" t="n"/>
      <c r="D63" s="401" t="n"/>
      <c r="E63" s="401" t="n"/>
      <c r="F63" s="401" t="n"/>
      <c r="G63" s="401" t="n"/>
      <c r="H63" s="401" t="n"/>
      <c r="I63" s="401" t="n"/>
      <c r="J63" s="401" t="n"/>
      <c r="K63" s="402" t="n"/>
      <c r="L63" s="402" t="n"/>
      <c r="M63" s="402" t="n"/>
      <c r="N63" s="402" t="n"/>
      <c r="O63" s="402" t="n"/>
    </row>
    <row r="64" ht="15.75" customHeight="1" s="443">
      <c r="A64" s="469" t="inlineStr">
        <is>
          <t>4. Thủ tục cơ bản / Baseline Procedure</t>
        </is>
      </c>
      <c r="M64" s="322" t="n"/>
      <c r="N64" s="322" t="n"/>
      <c r="O64" s="322" t="n"/>
    </row>
    <row r="65" ht="12.75" customHeight="1" s="443">
      <c r="A65" s="322" t="n"/>
      <c r="B65" s="399" t="n"/>
      <c r="C65" s="399" t="n"/>
      <c r="D65" s="399" t="n"/>
      <c r="E65" s="399" t="n"/>
      <c r="F65" s="399" t="n"/>
      <c r="G65" s="399" t="n"/>
      <c r="H65" s="399" t="n"/>
      <c r="I65" s="399" t="n"/>
      <c r="J65" s="399" t="n"/>
      <c r="K65" s="400" t="n"/>
      <c r="L65" s="400" t="n"/>
      <c r="M65" s="400" t="n"/>
      <c r="N65" s="400" t="n"/>
      <c r="O65" s="400" t="n"/>
    </row>
    <row r="66" ht="15.75" customHeight="1" s="443">
      <c r="A66" s="403" t="inlineStr">
        <is>
          <t>#</t>
        </is>
      </c>
      <c r="B66" s="403" t="inlineStr">
        <is>
          <t>Chi tiết / Details</t>
        </is>
      </c>
      <c r="C66" s="472" t="n"/>
      <c r="D66" s="472" t="n"/>
      <c r="E66" s="472" t="n"/>
      <c r="F66" s="403" t="inlineStr">
        <is>
          <t>Link</t>
        </is>
      </c>
      <c r="G66" s="472" t="n"/>
      <c r="H66" s="472" t="n"/>
      <c r="I66" s="406" t="inlineStr">
        <is>
          <t>Hoàn thành bởi / Done by</t>
        </is>
      </c>
      <c r="J66" s="407" t="inlineStr">
        <is>
          <t>Ghi chú / Note</t>
        </is>
      </c>
      <c r="K66" s="382" t="n"/>
      <c r="L66" s="382" t="n"/>
      <c r="M66" s="382" t="n"/>
      <c r="N66" s="382" t="n"/>
      <c r="O66" s="382" t="n"/>
    </row>
    <row r="67" ht="15.75" customHeight="1" s="443">
      <c r="A67" s="335" t="n">
        <v>1</v>
      </c>
      <c r="B67" s="490" t="inlineStr">
        <is>
          <t>Khởi tạo source code/dự án / Initialize source code/project</t>
        </is>
      </c>
      <c r="C67" s="446" t="n"/>
      <c r="D67" s="446" t="n"/>
      <c r="E67" s="447" t="n"/>
      <c r="F67" s="491" t="n"/>
      <c r="G67" s="446" t="n"/>
      <c r="H67" s="447" t="n"/>
      <c r="I67" s="410" t="inlineStr">
        <is>
          <t>Client</t>
        </is>
      </c>
      <c r="J67" s="411" t="n"/>
      <c r="K67" s="382" t="n"/>
      <c r="L67" s="382" t="n"/>
      <c r="M67" s="382" t="n"/>
      <c r="N67" s="382" t="n"/>
      <c r="O67" s="382" t="n"/>
    </row>
    <row r="68" ht="15.75" customHeight="1" s="443">
      <c r="A68" s="412" t="n">
        <v>2</v>
      </c>
      <c r="B68" s="491" t="inlineStr">
        <is>
          <t>- Clone/pull/branch - Make a pull request</t>
        </is>
      </c>
      <c r="C68" s="446" t="n"/>
      <c r="D68" s="446" t="n"/>
      <c r="E68" s="447" t="n"/>
      <c r="F68" s="491" t="n"/>
      <c r="G68" s="446" t="n"/>
      <c r="H68" s="447" t="n"/>
      <c r="I68" s="413" t="inlineStr">
        <is>
          <t>Brse/PM</t>
        </is>
      </c>
      <c r="J68" s="314" t="n"/>
      <c r="K68" s="382" t="n"/>
      <c r="L68" s="382" t="n"/>
      <c r="M68" s="382" t="n"/>
      <c r="N68" s="382" t="n"/>
      <c r="O68" s="382" t="n"/>
    </row>
    <row r="69" ht="15.75" customHeight="1" s="443">
      <c r="A69" s="412" t="n">
        <v>3</v>
      </c>
      <c r="B69" s="491" t="inlineStr">
        <is>
          <t>Xem xét và hợp nhất pull request / Review and merge pull request</t>
        </is>
      </c>
      <c r="C69" s="446" t="n"/>
      <c r="D69" s="446" t="n"/>
      <c r="E69" s="447" t="n"/>
      <c r="F69" s="491" t="n"/>
      <c r="G69" s="446" t="n"/>
      <c r="H69" s="447" t="n"/>
      <c r="I69" s="413" t="inlineStr">
        <is>
          <t>Brse/Client</t>
        </is>
      </c>
      <c r="J69" s="414" t="n"/>
      <c r="K69" s="382" t="n"/>
      <c r="L69" s="382" t="n"/>
      <c r="M69" s="382" t="n"/>
      <c r="N69" s="382" t="n"/>
      <c r="O69" s="382" t="n"/>
    </row>
    <row r="70" ht="12.75" customHeight="1" s="443">
      <c r="A70" s="401" t="n"/>
      <c r="B70" s="401" t="n"/>
      <c r="C70" s="401" t="n"/>
      <c r="D70" s="401" t="n"/>
      <c r="E70" s="401" t="n"/>
      <c r="F70" s="401" t="n"/>
      <c r="G70" s="401" t="n"/>
      <c r="H70" s="401" t="n"/>
      <c r="I70" s="401" t="n"/>
      <c r="J70" s="401" t="n"/>
      <c r="K70" s="402" t="n"/>
      <c r="L70" s="402" t="n"/>
      <c r="M70" s="402" t="n"/>
      <c r="N70" s="402" t="n"/>
      <c r="O70" s="402" t="n"/>
    </row>
    <row r="71" ht="15.75" customHeight="1" s="443">
      <c r="A71" s="469" t="inlineStr">
        <is>
          <t>5. Quy tắc CM khác / Other CM Rule</t>
        </is>
      </c>
      <c r="M71" s="322" t="n"/>
      <c r="N71" s="322" t="n"/>
      <c r="O71" s="322" t="n"/>
    </row>
    <row r="72" ht="12.75" customHeight="1" s="443">
      <c r="A72" s="322" t="n"/>
      <c r="B72" s="399" t="n"/>
      <c r="C72" s="399" t="n"/>
      <c r="D72" s="399" t="n"/>
      <c r="E72" s="399" t="n"/>
      <c r="F72" s="399" t="n"/>
      <c r="G72" s="399" t="n"/>
      <c r="H72" s="399" t="n"/>
      <c r="I72" s="399" t="n"/>
      <c r="J72" s="399" t="n"/>
      <c r="K72" s="400" t="n"/>
      <c r="L72" s="400" t="n"/>
      <c r="M72" s="400" t="n"/>
      <c r="N72" s="400" t="n"/>
      <c r="O72" s="400" t="n"/>
    </row>
    <row r="73" ht="15.75" customHeight="1" s="443">
      <c r="A73" s="415" t="inlineStr">
        <is>
          <t>Vui lòng lưu ý bất kỳ vấn đề nào khác mà bạn muốn báo cáo ở đây / Please note any other matters that you want to report here.</t>
        </is>
      </c>
      <c r="M73" s="382" t="n"/>
      <c r="N73" s="382" t="n"/>
      <c r="O73" s="382" t="n"/>
    </row>
    <row r="74" ht="12.75" customHeight="1" s="443">
      <c r="A74" s="322" t="n"/>
      <c r="B74" s="400" t="n"/>
      <c r="C74" s="400" t="n"/>
      <c r="D74" s="400" t="n"/>
      <c r="E74" s="400" t="n"/>
      <c r="F74" s="400" t="n"/>
      <c r="G74" s="400" t="n"/>
      <c r="H74" s="400" t="n"/>
      <c r="I74" s="400" t="n"/>
      <c r="J74" s="400" t="n"/>
      <c r="K74" s="400" t="n"/>
      <c r="L74" s="400" t="n"/>
      <c r="M74" s="400" t="n"/>
      <c r="N74" s="400" t="n"/>
      <c r="O74" s="400" t="n"/>
    </row>
    <row r="75" ht="12.75" customHeight="1" s="443">
      <c r="A75" s="322" t="n"/>
      <c r="B75" s="400" t="n"/>
      <c r="C75" s="400" t="n"/>
      <c r="D75" s="400" t="n"/>
      <c r="E75" s="400" t="n"/>
      <c r="F75" s="400" t="n"/>
      <c r="G75" s="400" t="n"/>
      <c r="H75" s="400" t="n"/>
      <c r="I75" s="400" t="n"/>
      <c r="J75" s="400" t="n"/>
      <c r="K75" s="400" t="n"/>
      <c r="L75" s="400" t="n"/>
      <c r="M75" s="400" t="n"/>
      <c r="N75" s="400" t="n"/>
      <c r="O75" s="400" t="n"/>
    </row>
    <row r="76" ht="12.75" customHeight="1" s="443">
      <c r="A76" s="322" t="n"/>
      <c r="B76" s="400" t="n"/>
      <c r="C76" s="400" t="n"/>
      <c r="D76" s="400" t="n"/>
      <c r="E76" s="400" t="n"/>
      <c r="F76" s="400" t="n"/>
      <c r="G76" s="400" t="n"/>
      <c r="H76" s="400" t="n"/>
      <c r="I76" s="400" t="n"/>
      <c r="J76" s="400" t="n"/>
      <c r="K76" s="400" t="n"/>
      <c r="L76" s="400" t="n"/>
      <c r="M76" s="400" t="n"/>
      <c r="N76" s="400" t="n"/>
      <c r="O76" s="400" t="n"/>
    </row>
    <row r="77" ht="12.75" customHeight="1" s="443">
      <c r="A77" s="322" t="n"/>
      <c r="B77" s="400" t="n"/>
      <c r="C77" s="400" t="n"/>
      <c r="D77" s="400" t="n"/>
      <c r="E77" s="400" t="n"/>
      <c r="F77" s="400" t="n"/>
      <c r="G77" s="400" t="n"/>
      <c r="H77" s="400" t="n"/>
      <c r="I77" s="400" t="n"/>
      <c r="J77" s="400" t="n"/>
      <c r="K77" s="400" t="n"/>
      <c r="L77" s="400" t="n"/>
      <c r="M77" s="400" t="n"/>
      <c r="N77" s="400" t="n"/>
      <c r="O77" s="400" t="n"/>
    </row>
    <row r="78" ht="12.75" customHeight="1" s="443">
      <c r="A78" s="322" t="n"/>
      <c r="B78" s="400" t="n"/>
      <c r="C78" s="400" t="n"/>
      <c r="D78" s="400" t="n"/>
      <c r="E78" s="400" t="n"/>
      <c r="F78" s="400" t="n"/>
      <c r="G78" s="400" t="n"/>
      <c r="H78" s="400" t="n"/>
      <c r="I78" s="400" t="n"/>
      <c r="J78" s="400" t="n"/>
      <c r="K78" s="400" t="n"/>
      <c r="L78" s="400" t="n"/>
      <c r="M78" s="400" t="n"/>
      <c r="N78" s="400" t="n"/>
      <c r="O78" s="400" t="n"/>
    </row>
  </sheetData>
  <mergeCells count="93">
    <mergeCell ref="A23:J23"/>
    <mergeCell ref="F16:G16"/>
    <mergeCell ref="F25:G25"/>
    <mergeCell ref="B68:E68"/>
    <mergeCell ref="F66:H66"/>
    <mergeCell ref="C21:E21"/>
    <mergeCell ref="I26:J26"/>
    <mergeCell ref="I16:J16"/>
    <mergeCell ref="A71:L71"/>
    <mergeCell ref="F15:G15"/>
    <mergeCell ref="I25:J25"/>
    <mergeCell ref="C7:E7"/>
    <mergeCell ref="A43:C43"/>
    <mergeCell ref="I18:J18"/>
    <mergeCell ref="B38:C38"/>
    <mergeCell ref="C18:E18"/>
    <mergeCell ref="F13:G13"/>
    <mergeCell ref="B40:C40"/>
    <mergeCell ref="B49:C49"/>
    <mergeCell ref="I20:J20"/>
    <mergeCell ref="B51:C51"/>
    <mergeCell ref="B69:E69"/>
    <mergeCell ref="A12:J12"/>
    <mergeCell ref="I13:J13"/>
    <mergeCell ref="B41:C41"/>
    <mergeCell ref="C20:E20"/>
    <mergeCell ref="B35:C35"/>
    <mergeCell ref="C25:E25"/>
    <mergeCell ref="A5:J5"/>
    <mergeCell ref="I6:J6"/>
    <mergeCell ref="A14:J14"/>
    <mergeCell ref="F10:G10"/>
    <mergeCell ref="I15:J15"/>
    <mergeCell ref="F19:G19"/>
    <mergeCell ref="F6:G6"/>
    <mergeCell ref="I7:J7"/>
    <mergeCell ref="F20:G20"/>
    <mergeCell ref="F18:G18"/>
    <mergeCell ref="F17:G17"/>
    <mergeCell ref="B66:E66"/>
    <mergeCell ref="A4:L4"/>
    <mergeCell ref="J2:L2"/>
    <mergeCell ref="C13:E13"/>
    <mergeCell ref="I24:J24"/>
    <mergeCell ref="A31:C31"/>
    <mergeCell ref="B37:C37"/>
    <mergeCell ref="A58:C58"/>
    <mergeCell ref="I8:J8"/>
    <mergeCell ref="I17:J17"/>
    <mergeCell ref="F69:H69"/>
    <mergeCell ref="F9:G9"/>
    <mergeCell ref="C15:E15"/>
    <mergeCell ref="C24:E24"/>
    <mergeCell ref="B67:E67"/>
    <mergeCell ref="A73:L73"/>
    <mergeCell ref="I10:J10"/>
    <mergeCell ref="I19:J19"/>
    <mergeCell ref="C26:E26"/>
    <mergeCell ref="I9:J9"/>
    <mergeCell ref="C10:E10"/>
    <mergeCell ref="C16:E16"/>
    <mergeCell ref="C9:E9"/>
    <mergeCell ref="F7:G7"/>
    <mergeCell ref="F21:G21"/>
    <mergeCell ref="B52:C52"/>
    <mergeCell ref="B42:C42"/>
    <mergeCell ref="F67:H67"/>
    <mergeCell ref="F8:G8"/>
    <mergeCell ref="I21:J21"/>
    <mergeCell ref="B44:C44"/>
    <mergeCell ref="B34:C34"/>
    <mergeCell ref="A59:L59"/>
    <mergeCell ref="C6:E6"/>
    <mergeCell ref="A64:L64"/>
    <mergeCell ref="F68:H68"/>
    <mergeCell ref="B45:C45"/>
    <mergeCell ref="A61:L61"/>
    <mergeCell ref="C2:I2"/>
    <mergeCell ref="B47:C47"/>
    <mergeCell ref="B46:C46"/>
    <mergeCell ref="B39:C39"/>
    <mergeCell ref="A33:C33"/>
    <mergeCell ref="F24:G24"/>
    <mergeCell ref="B48:C48"/>
    <mergeCell ref="C8:E8"/>
    <mergeCell ref="C17:E17"/>
    <mergeCell ref="F26:G26"/>
    <mergeCell ref="E31:L31"/>
    <mergeCell ref="C19:E19"/>
    <mergeCell ref="A28:L28"/>
    <mergeCell ref="A30:L30"/>
    <mergeCell ref="B36:C36"/>
    <mergeCell ref="B50:C50"/>
  </mergeCells>
  <pageMargins left="0.7" right="0.7" top="0.75" bottom="0.75"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B2:D24"/>
  <sheetViews>
    <sheetView workbookViewId="0">
      <selection activeCell="A1" sqref="A1"/>
    </sheetView>
  </sheetViews>
  <sheetFormatPr baseColWidth="8" defaultColWidth="12.63" defaultRowHeight="15" customHeight="1"/>
  <cols>
    <col width="24.5" customWidth="1" style="443" min="2" max="2"/>
    <col width="20.63" customWidth="1" style="443" min="4" max="4"/>
  </cols>
  <sheetData>
    <row r="2">
      <c r="B2" s="420" t="inlineStr">
        <is>
          <t>Project Director</t>
        </is>
      </c>
      <c r="C2" s="417">
        <f>COUNTIF('4.Resource'!$C$57:$C$89,B2)</f>
        <v/>
      </c>
      <c r="D2" s="417">
        <f>SUMIF('4.Resource'!$C$57:$C$89,B2,'4.Resource'!$E$57:$E$89)</f>
        <v/>
      </c>
    </row>
    <row r="3">
      <c r="B3" s="420" t="inlineStr">
        <is>
          <t>Project Manager</t>
        </is>
      </c>
      <c r="C3" s="417">
        <f>COUNTIF('4.Resource'!$C$57:$C$89,B3)</f>
        <v/>
      </c>
      <c r="D3" s="417">
        <f>SUMIF('4.Resource'!$C$57:$C$89,B3,'4.Resource'!$E$57:$E$89)</f>
        <v/>
      </c>
    </row>
    <row r="4">
      <c r="B4" s="420" t="inlineStr">
        <is>
          <t>Academic Advisor</t>
        </is>
      </c>
      <c r="C4" s="417">
        <f>COUNTIF('4.Resource'!$C$57:$C$89,B4)</f>
        <v/>
      </c>
      <c r="D4" s="417">
        <f>SUMIF('4.Resource'!$C$57:$C$89,B4,'4.Resource'!$E$57:$E$89)</f>
        <v/>
      </c>
    </row>
    <row r="5">
      <c r="B5" s="420" t="inlineStr">
        <is>
          <t>Technical Advisor</t>
        </is>
      </c>
      <c r="C5" s="417">
        <f>COUNTIF('4.Resource'!$C$57:$C$89,B5)</f>
        <v/>
      </c>
      <c r="D5" s="417">
        <f>SUMIF('4.Resource'!$C$57:$C$89,B5,'4.Resource'!$E$57:$E$89)</f>
        <v/>
      </c>
    </row>
    <row r="6">
      <c r="B6" s="420" t="inlineStr">
        <is>
          <t>Project Assistant</t>
        </is>
      </c>
      <c r="C6" s="417">
        <f>COUNTIF('4.Resource'!$C$57:$C$89,B6)</f>
        <v/>
      </c>
      <c r="D6" s="417">
        <f>SUMIF('4.Resource'!$C$57:$C$89,B6,'4.Resource'!$E$57:$E$89)</f>
        <v/>
      </c>
    </row>
    <row r="7">
      <c r="B7" s="420" t="inlineStr">
        <is>
          <t>Project Assistant</t>
        </is>
      </c>
      <c r="C7" s="417">
        <f>COUNTIF('4.Resource'!$C$57:$C$89,B7)</f>
        <v/>
      </c>
      <c r="D7" s="417">
        <f>SUMIF('4.Resource'!$C$57:$C$89,B7,'4.Resource'!$E$57:$E$89)</f>
        <v/>
      </c>
    </row>
    <row r="8">
      <c r="B8" s="420" t="inlineStr">
        <is>
          <t>Product Manager</t>
        </is>
      </c>
      <c r="C8" s="417">
        <f>COUNTIF('4.Resource'!$C$57:$C$89,B8)</f>
        <v/>
      </c>
      <c r="D8" s="417">
        <f>SUMIF('4.Resource'!$C$57:$C$89,B8,'4.Resource'!$E$57:$E$89)</f>
        <v/>
      </c>
    </row>
    <row r="9">
      <c r="B9" s="418" t="inlineStr">
        <is>
          <t>Product Owner</t>
        </is>
      </c>
      <c r="C9" s="417">
        <f>COUNTIF('4.Resource'!$C$57:$C$89,B9)</f>
        <v/>
      </c>
      <c r="D9" s="417">
        <f>SUMIF('4.Resource'!$C$57:$C$89,B9,'4.Resource'!$E$57:$E$89)</f>
        <v/>
      </c>
    </row>
    <row r="10">
      <c r="B10" s="420" t="inlineStr">
        <is>
          <t>Game Designer</t>
        </is>
      </c>
      <c r="C10" s="417">
        <f>COUNTIF('4.Resource'!$C$57:$C$89,B10)</f>
        <v/>
      </c>
      <c r="D10" s="419">
        <f>SUMIF('4.Resource'!$C$57:$C$89,B10,'4.Resource'!$E$57:$E$89)</f>
        <v/>
      </c>
    </row>
    <row r="11">
      <c r="B11" s="420" t="inlineStr">
        <is>
          <t>Game Artist Leader</t>
        </is>
      </c>
      <c r="C11" s="417">
        <f>COUNTIF('4.Resource'!$C$57:$C$89,B11)</f>
        <v/>
      </c>
      <c r="D11" s="417">
        <f>SUMIF('4.Resource'!$C$57:$C$89,B11,'4.Resource'!$E$57:$E$89)</f>
        <v/>
      </c>
    </row>
    <row r="12">
      <c r="B12" s="420" t="inlineStr">
        <is>
          <t>2D Game Artist</t>
        </is>
      </c>
      <c r="C12" s="417">
        <f>COUNTIF('4.Resource'!$C$57:$C$89,B12)</f>
        <v/>
      </c>
      <c r="D12" s="417">
        <f>SUMIF('4.Resource'!$C$57:$C$89,B12,'4.Resource'!$E$57:$E$89)</f>
        <v/>
      </c>
    </row>
    <row r="13">
      <c r="B13" s="420" t="inlineStr">
        <is>
          <t>UI/UX Designer</t>
        </is>
      </c>
      <c r="C13" s="417">
        <f>COUNTIF('4.Resource'!$C$57:$C$89,B13)</f>
        <v/>
      </c>
      <c r="D13" s="417">
        <f>SUMIF('4.Resource'!$C$57:$C$89,B13,'4.Resource'!$E$57:$E$89)</f>
        <v/>
      </c>
    </row>
    <row r="14">
      <c r="B14" s="420" t="inlineStr">
        <is>
          <t>3D Game Artist</t>
        </is>
      </c>
      <c r="C14" s="417">
        <f>COUNTIF('4.Resource'!$C$57:$C$89,B14)</f>
        <v/>
      </c>
      <c r="D14" s="419">
        <f>SUMIF('4.Resource'!$C$57:$C$89,B14,'4.Resource'!$E$57:$E$89)</f>
        <v/>
      </c>
    </row>
    <row r="15">
      <c r="B15" s="420" t="inlineStr">
        <is>
          <t>3D Animator</t>
        </is>
      </c>
      <c r="C15" s="417">
        <f>COUNTIF('4.Resource'!$C$57:$C$89,B15)</f>
        <v/>
      </c>
      <c r="D15" s="417">
        <f>SUMIF('4.Resource'!$C$57:$C$89,B15,'4.Resource'!$E$57:$E$89)</f>
        <v/>
      </c>
    </row>
    <row r="16">
      <c r="B16" s="420" t="inlineStr">
        <is>
          <t>Sound Designer</t>
        </is>
      </c>
      <c r="C16" s="417">
        <f>COUNTIF('4.Resource'!$C$57:$C$89,B16)</f>
        <v/>
      </c>
      <c r="D16" s="417">
        <f>SUMIF('4.Resource'!$C$57:$C$89,B16,'4.Resource'!$E$57:$E$89)</f>
        <v/>
      </c>
    </row>
    <row r="17">
      <c r="B17" s="420" t="inlineStr">
        <is>
          <t>Technical Leader</t>
        </is>
      </c>
      <c r="C17" s="417">
        <f>COUNTIF('4.Resource'!$C$57:$C$89,B17)</f>
        <v/>
      </c>
      <c r="D17" s="417">
        <f>SUMIF('4.Resource'!$C$57:$C$89,B17,'4.Resource'!$E$57:$E$89)</f>
        <v/>
      </c>
    </row>
    <row r="18">
      <c r="B18" s="420" t="inlineStr">
        <is>
          <t>Unity Developer</t>
        </is>
      </c>
      <c r="C18" s="417">
        <f>COUNTIF('4.Resource'!$C$57:$C$89,B18)</f>
        <v/>
      </c>
      <c r="D18" s="417">
        <f>SUMIF('4.Resource'!$C$57:$C$89,B18,'4.Resource'!$E$57:$E$89)</f>
        <v/>
      </c>
    </row>
    <row r="19">
      <c r="B19" s="420" t="inlineStr">
        <is>
          <t>Back End Developer</t>
        </is>
      </c>
      <c r="C19" s="417">
        <f>COUNTIF('4.Resource'!$C$57:$C$89,B19)</f>
        <v/>
      </c>
      <c r="D19" s="417">
        <f>SUMIF('4.Resource'!$C$57:$C$89,B19,'4.Resource'!$E$57:$E$89)</f>
        <v/>
      </c>
    </row>
    <row r="20">
      <c r="B20" s="420" t="inlineStr">
        <is>
          <t>Technical Artist</t>
        </is>
      </c>
      <c r="C20" s="417">
        <f>COUNTIF('4.Resource'!$C$57:$C$89,B20)</f>
        <v/>
      </c>
      <c r="D20" s="417">
        <f>SUMIF('4.Resource'!$C$57:$C$89,B20,'4.Resource'!$E$57:$E$89)</f>
        <v/>
      </c>
    </row>
    <row r="21">
      <c r="B21" s="420" t="inlineStr">
        <is>
          <t>Quality Assurance</t>
        </is>
      </c>
      <c r="C21" s="417">
        <f>COUNTIF('4.Resource'!$C$57:$C$89,B21)</f>
        <v/>
      </c>
      <c r="D21" s="417">
        <f>SUMIF('4.Resource'!$C$57:$C$89,B21,'4.Resource'!$E$57:$E$89)</f>
        <v/>
      </c>
    </row>
    <row r="22">
      <c r="B22" s="420" t="inlineStr">
        <is>
          <t>Quality Assurance Leader</t>
        </is>
      </c>
      <c r="C22" s="417">
        <f>COUNTIF('4.Resource'!$C$57:$C$89,B22)</f>
        <v/>
      </c>
      <c r="D22" s="417">
        <f>SUMIF('4.Resource'!$C$57:$C$89,B22,'4.Resource'!$E$57:$E$89)</f>
        <v/>
      </c>
    </row>
    <row r="23">
      <c r="B23" s="420" t="inlineStr">
        <is>
          <t>Quality Control Leader</t>
        </is>
      </c>
      <c r="C23" s="417">
        <f>COUNTIF('4.Resource'!$C$57:$C$89,B23)</f>
        <v/>
      </c>
      <c r="D23" s="417">
        <f>SUMIF('4.Resource'!$C$57:$C$89,B23,'4.Resource'!$E$57:$E$89)</f>
        <v/>
      </c>
    </row>
    <row r="24">
      <c r="B24" s="420" t="inlineStr">
        <is>
          <t>Quality Control</t>
        </is>
      </c>
      <c r="C24" s="417">
        <f>COUNTIF('4.Resource'!$C$57:$C$89,B24)</f>
        <v/>
      </c>
      <c r="D24" s="417">
        <f>SUMIF('4.Resource'!$C$57:$C$89,B24,'4.Resource'!$E$57:$E$89)</f>
        <v/>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17"/>
  <sheetViews>
    <sheetView showGridLines="0" workbookViewId="0">
      <selection activeCell="A1" sqref="A1"/>
    </sheetView>
  </sheetViews>
  <sheetFormatPr baseColWidth="8" defaultColWidth="12.63" defaultRowHeight="15" customHeight="1"/>
  <cols>
    <col width="3.63" customWidth="1" style="443" min="1" max="1"/>
    <col width="25" customWidth="1" style="443" min="2" max="2"/>
    <col width="46.5" customWidth="1" style="443" min="3" max="3"/>
    <col width="11.38" customWidth="1" style="443" min="4" max="4"/>
    <col width="21.63" customWidth="1" style="443" min="5" max="5"/>
    <col width="15.13" customWidth="1" style="443" min="6" max="6"/>
    <col width="14.63" customWidth="1" style="443" min="7" max="7"/>
    <col width="16" customWidth="1" style="443" min="8" max="8"/>
    <col hidden="1" width="12.63" customWidth="1" style="443" min="9" max="9"/>
  </cols>
  <sheetData>
    <row r="1" ht="7.5" customHeight="1" s="443">
      <c r="A1" s="214" t="n"/>
      <c r="B1" s="214" t="n"/>
      <c r="C1" s="214" t="n"/>
      <c r="D1" s="214" t="n"/>
      <c r="E1" s="214" t="n"/>
      <c r="F1" s="214" t="n"/>
      <c r="G1" s="214" t="n"/>
      <c r="H1" s="215" t="n"/>
      <c r="I1" s="215" t="n"/>
    </row>
    <row r="2" ht="54.75" customHeight="1" s="443">
      <c r="A2" s="294" t="n"/>
      <c r="B2" s="216" t="n"/>
      <c r="C2" s="295" t="inlineStr">
        <is>
          <t>KẾ HOẠCH QUẢN LÝ CHẤT LƯỢNG/ QUALITY MANAGEMENT PLAN</t>
        </is>
      </c>
      <c r="D2" s="444" t="n"/>
      <c r="E2" s="444" t="n"/>
      <c r="F2" s="444" t="n"/>
      <c r="G2" s="42">
        <f>ROC!F2</f>
        <v/>
      </c>
      <c r="H2" s="444" t="n"/>
      <c r="I2" s="296" t="n"/>
    </row>
    <row r="3" ht="15.75" customHeight="1" s="443">
      <c r="A3" s="297" t="n"/>
      <c r="B3" s="214" t="n"/>
      <c r="C3" s="214" t="n"/>
      <c r="D3" s="214" t="n"/>
      <c r="E3" s="214" t="n"/>
      <c r="F3" s="214" t="n"/>
      <c r="G3" s="214" t="n"/>
      <c r="H3" s="215" t="n"/>
      <c r="I3" s="215" t="n"/>
    </row>
    <row r="4" ht="18" customHeight="1" s="443">
      <c r="A4" s="421" t="inlineStr">
        <is>
          <t>Tiêu chí chất lượng/ Quality criteria</t>
        </is>
      </c>
      <c r="B4" s="421" t="n"/>
      <c r="C4" s="421" t="n"/>
      <c r="D4" s="421" t="n"/>
      <c r="E4" s="421" t="n"/>
      <c r="F4" s="421" t="n"/>
      <c r="G4" s="421" t="n"/>
      <c r="H4" s="421" t="n"/>
      <c r="I4" s="422" t="n"/>
    </row>
    <row r="5" ht="15.75" customHeight="1" s="443">
      <c r="A5" s="423" t="n"/>
      <c r="B5" s="424" t="n"/>
      <c r="C5" s="424" t="n"/>
      <c r="D5" s="424" t="n"/>
      <c r="E5" s="424" t="n"/>
      <c r="F5" s="424" t="n"/>
      <c r="G5" s="424" t="n"/>
      <c r="H5" s="424" t="n"/>
      <c r="I5" s="75" t="n"/>
    </row>
    <row r="6" ht="15.75" customHeight="1" s="443">
      <c r="A6" s="425" t="inlineStr">
        <is>
          <t>#</t>
        </is>
      </c>
      <c r="B6" s="426" t="inlineStr">
        <is>
          <t>Metric Name</t>
        </is>
      </c>
      <c r="C6" s="427" t="inlineStr">
        <is>
          <t>Công thức / Formulas</t>
        </is>
      </c>
      <c r="D6" s="427" t="inlineStr">
        <is>
          <t>Đơn vị / Unit</t>
        </is>
      </c>
      <c r="E6" s="427" t="inlineStr">
        <is>
          <t>Thời gian / Time</t>
        </is>
      </c>
      <c r="F6" s="427" t="inlineStr">
        <is>
          <t>Mục tiêu / Target</t>
        </is>
      </c>
      <c r="G6" s="427" t="inlineStr">
        <is>
          <t xml:space="preserve">
Notes</t>
        </is>
      </c>
      <c r="H6" s="447" t="n"/>
      <c r="I6" s="57" t="n"/>
    </row>
    <row r="7" ht="30" customHeight="1" s="443">
      <c r="A7" s="437" t="inlineStr">
        <is>
          <t>1</t>
        </is>
      </c>
      <c r="B7" s="430" t="inlineStr">
        <is>
          <t>% Hiệu suất / % Effort Efficiency</t>
        </is>
      </c>
      <c r="C7" s="430" t="inlineStr">
        <is>
          <t>Tổng effort thực tế (MM)/ Tổng effort trên kế hoạch (MM) / Total Actual Effort (MM)/ Total Plan Effort (MM)</t>
        </is>
      </c>
      <c r="D7" s="431" t="inlineStr">
        <is>
          <t>%</t>
        </is>
      </c>
      <c r="E7" s="85" t="inlineStr">
        <is>
          <t>Kết thúc Sprint/Phase / End of Sprint/Phase</t>
        </is>
      </c>
      <c r="F7" s="431" t="inlineStr">
        <is>
          <t>&lt;= 100%</t>
        </is>
      </c>
      <c r="G7" s="260" t="inlineStr">
        <is>
          <t>% Deviation (D):
- Red: D &gt;= 15%
- Yellow: 5% &lt; D &lt; 15%
- Green: D &lt;= 5%</t>
        </is>
      </c>
      <c r="H7" s="474" t="n"/>
      <c r="I7" s="57" t="n"/>
    </row>
    <row r="8" ht="30" customHeight="1" s="443">
      <c r="A8" s="437" t="inlineStr">
        <is>
          <t>2</t>
        </is>
      </c>
      <c r="B8" s="430" t="inlineStr">
        <is>
          <t>% Tiến độ / % _x0008_Progress</t>
        </is>
      </c>
      <c r="C8" s="430" t="inlineStr">
        <is>
          <t>Tổng số bài học đã hoàn thành/ Tổng số bài học trong kế hoạch / Total Completed Lessons/ Total Plan Lessons</t>
        </is>
      </c>
      <c r="D8" s="431" t="inlineStr">
        <is>
          <t>%</t>
        </is>
      </c>
      <c r="E8" s="85" t="inlineStr">
        <is>
          <t>Kết thúc Sprint/Phase / End of Sprint/Phase</t>
        </is>
      </c>
      <c r="F8" s="431" t="inlineStr">
        <is>
          <t xml:space="preserve">&gt;= 100% </t>
        </is>
      </c>
      <c r="G8" s="466" t="n"/>
      <c r="H8" s="492" t="n"/>
      <c r="I8" s="57" t="n"/>
    </row>
    <row r="9" ht="30" customHeight="1" s="443">
      <c r="A9" s="437" t="inlineStr">
        <is>
          <t>3</t>
        </is>
      </c>
      <c r="B9" s="87" t="inlineStr">
        <is>
          <t>Năng suất / Productivity</t>
        </is>
      </c>
      <c r="C9" s="430" t="inlineStr">
        <is>
          <t>Tổng effort (MM)/ Tổng số bài đã hoàn thành / Total Effort (MM)/ Total Completed Lessons</t>
        </is>
      </c>
      <c r="D9" s="431" t="inlineStr">
        <is>
          <t>_x0008_No.</t>
        </is>
      </c>
      <c r="E9" s="85" t="inlineStr">
        <is>
          <t>Kết thúc Sprint/Phase / End of Sprint/Phase</t>
        </is>
      </c>
      <c r="F9" s="431" t="inlineStr">
        <is>
          <t>Actual &lt; Plan</t>
        </is>
      </c>
      <c r="G9" s="493" t="n"/>
      <c r="H9" s="451" t="n"/>
      <c r="I9" s="436" t="n"/>
    </row>
    <row r="10" ht="30" customHeight="1" s="443">
      <c r="A10" s="437" t="inlineStr">
        <is>
          <t>4</t>
        </is>
      </c>
      <c r="B10" s="87" t="inlineStr">
        <is>
          <t>Sự hài lòng của khách hàng / Customer Satisfaction</t>
        </is>
      </c>
      <c r="C10" s="87" t="inlineStr">
        <is>
          <t>Điểm trung bình của khách hàng (Tối đa: 5, Tối thiểu: 1) / Average Points of Customer (Max: 5, Min: 1)</t>
        </is>
      </c>
      <c r="D10" s="431" t="inlineStr">
        <is>
          <t>Điểm / Point</t>
        </is>
      </c>
      <c r="E10" s="85" t="inlineStr">
        <is>
          <t>Kết thúc dự án / End of Project</t>
        </is>
      </c>
      <c r="F10" s="431" t="inlineStr">
        <is>
          <t>&gt; 4</t>
        </is>
      </c>
      <c r="G10" s="494" t="inlineStr">
        <is>
          <t xml:space="preserve">
Green</t>
        </is>
      </c>
      <c r="H10" s="447" t="n"/>
      <c r="I10" s="436" t="n"/>
    </row>
    <row r="11" ht="18.75" customHeight="1" s="443">
      <c r="A11" s="439" t="n"/>
      <c r="B11" s="439" t="n"/>
      <c r="C11" s="439" t="n"/>
      <c r="D11" s="439" t="n"/>
      <c r="E11" s="439" t="n"/>
      <c r="F11" s="439" t="n"/>
      <c r="G11" s="439" t="n"/>
      <c r="H11" s="439" t="n"/>
      <c r="I11" s="311" t="n"/>
    </row>
    <row r="12" ht="18" customHeight="1" s="443">
      <c r="A12" s="421" t="inlineStr">
        <is>
          <t>Các hoạt động khác/ Other activities</t>
        </is>
      </c>
      <c r="B12" s="421" t="n"/>
      <c r="C12" s="421" t="n"/>
      <c r="D12" s="421" t="n"/>
      <c r="E12" s="421" t="n"/>
      <c r="F12" s="421" t="n"/>
      <c r="G12" s="421" t="n"/>
      <c r="H12" s="421" t="n"/>
      <c r="I12" s="422" t="n"/>
    </row>
    <row r="13" ht="15.75" customHeight="1" s="443">
      <c r="A13" s="440" t="n"/>
      <c r="B13" s="441" t="n"/>
      <c r="C13" s="441" t="n"/>
      <c r="D13" s="441" t="n"/>
      <c r="E13" s="441" t="n"/>
      <c r="F13" s="441" t="n"/>
      <c r="G13" s="441" t="n"/>
      <c r="H13" s="441" t="n"/>
      <c r="I13" s="75" t="n"/>
    </row>
    <row r="14" ht="23.25" customHeight="1" s="443">
      <c r="A14" s="307" t="inlineStr">
        <is>
          <t>Vui lòng lưu ý các hoạt động chất lượng khác mà khách hàng yêu cầu (nếu có) / Please note other quality activities that customer request (if any).</t>
        </is>
      </c>
      <c r="B14" s="446" t="n"/>
      <c r="C14" s="446" t="n"/>
      <c r="D14" s="446" t="n"/>
      <c r="E14" s="446" t="n"/>
      <c r="F14" s="446" t="n"/>
      <c r="G14" s="446" t="n"/>
      <c r="H14" s="447" t="n"/>
      <c r="I14" s="89" t="n"/>
    </row>
    <row r="15" ht="15.75" customHeight="1" s="443">
      <c r="A15" s="215" t="n"/>
      <c r="B15" s="75" t="n"/>
      <c r="C15" s="75" t="n"/>
      <c r="D15" s="75" t="n"/>
      <c r="E15" s="75" t="n"/>
      <c r="F15" s="75" t="n"/>
      <c r="G15" s="75" t="n"/>
      <c r="H15" s="75" t="n"/>
      <c r="I15" s="75" t="n"/>
    </row>
    <row r="16" ht="15.75" customHeight="1" s="443">
      <c r="A16" s="215" t="n"/>
      <c r="B16" s="75" t="n"/>
      <c r="C16" s="75" t="n"/>
      <c r="D16" s="75" t="n"/>
      <c r="E16" s="75" t="n"/>
      <c r="F16" s="75" t="n"/>
      <c r="G16" s="75" t="n"/>
      <c r="H16" s="75" t="n"/>
      <c r="I16" s="75" t="n"/>
    </row>
    <row r="17" ht="15.75" customHeight="1" s="443">
      <c r="A17" s="215" t="n"/>
      <c r="B17" s="75" t="n"/>
      <c r="C17" s="75" t="n"/>
      <c r="D17" s="75" t="n"/>
      <c r="E17" s="75" t="n"/>
      <c r="F17" s="75" t="n"/>
      <c r="G17" s="75" t="n"/>
      <c r="H17" s="75" t="n"/>
      <c r="I17" s="75" t="n"/>
    </row>
  </sheetData>
  <mergeCells count="6">
    <mergeCell ref="G2:H2"/>
    <mergeCell ref="G10:H10"/>
    <mergeCell ref="A14:H14"/>
    <mergeCell ref="G6:H6"/>
    <mergeCell ref="C2:F2"/>
    <mergeCell ref="G7:H9"/>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2026-04-14T04:28:23Z</dcterms:created>
  <dcterms:modified xsi:type="dcterms:W3CDTF">2026-04-14T07:59:00Z</dcterms:modified>
</cp:coreProperties>
</file>